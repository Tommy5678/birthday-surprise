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2b5be191954e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026985bd8dd94187"/>
    <x:sheet xmlns:r="http://schemas.openxmlformats.org/officeDocument/2006/relationships" name="Apply First" sheetId="2" r:id="Rbc741e9bfb1f4642"/>
    <x:sheet xmlns:r="http://schemas.openxmlformats.org/officeDocument/2006/relationships" name="All Direct Jobs" sheetId="3" r:id="Rf4ebd930204d49c4"/>
    <x:sheet xmlns:r="http://schemas.openxmlformats.org/officeDocument/2006/relationships" name="Best Resume Matches" sheetId="4" r:id="Rfdd051ba465a4cba"/>
    <x:sheet xmlns:r="http://schemas.openxmlformats.org/officeDocument/2006/relationships" name="Removed Bad Links" sheetId="5" r:id="R4cc386864f334d0d"/>
    <x:sheet xmlns:r="http://schemas.openxmlformats.org/officeDocument/2006/relationships" name="Read Me" sheetId="6" r:id="Rc2adffe70b574e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1"/>
      <x:color rgb="FFFFFFFF"/>
      <x:name val="Carlito"/>
    </x:font>
    <x:font>
      <x:b/>
      <x:sz val="22"/>
      <x:color rgb="FFFFFFFF"/>
      <x:name val="Carlito"/>
    </x:font>
    <x:font>
      <x:b/>
      <x:sz val="11"/>
      <x:color rgb="FF5B21B6"/>
      <x:name val="Carlito"/>
    </x:font>
    <x:font>
      <x:b/>
      <x:sz val="20"/>
      <x:name val="Carlito"/>
    </x:font>
    <x:font>
      <x:b/>
      <x:sz val="11"/>
      <x:name val="Carlito"/>
    </x:font>
    <x:font>
      <x:sz val="12"/>
      <x:color theme="10"/>
      <x:name val="Calibri"/>
    </x:font>
  </x:fonts>
  <x:fills count="14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6D28D9"/>
      </x:patternFill>
    </x:fill>
    <x:fill>
      <x:patternFill patternType="solid">
        <x:fgColor rgb="FF0F766E"/>
      </x:patternFill>
    </x:fill>
    <x:fill>
      <x:patternFill patternType="solid">
        <x:fgColor rgb="FF991B1B"/>
      </x:patternFill>
    </x:fill>
    <x:fill>
      <x:patternFill patternType="solid">
        <x:fgColor rgb="FFEDE9FE"/>
      </x:patternFill>
    </x:fill>
    <x:fill>
      <x:patternFill patternType="solid">
        <x:fgColor rgb="FFF3F4F6"/>
      </x:patternFill>
    </x:fill>
    <x:fill>
      <x:patternFill patternType="solid">
        <x:fgColor rgb="FFFFFFFF"/>
      </x:patternFill>
    </x:fill>
    <x:fill>
      <x:patternFill patternType="solid">
        <x:fgColor rgb="FFFAFAFF"/>
      </x:patternFill>
    </x:fill>
    <x:fill>
      <x:patternFill patternType="solid">
        <x:fgColor rgb="FFE5E7EB"/>
      </x:patternFill>
    </x:fill>
    <x:fill>
      <x:patternFill patternType="solid">
        <x:fgColor rgb="FF6D28D9"/>
      </x:patternFill>
    </x:fill>
    <x:fill>
      <x:patternFill patternType="solid">
        <x:fgColor rgb="FF6D28D9"/>
      </x:patternFill>
    </x:fill>
    <x:fill>
      <x:patternFill patternType="solid">
        <x:fgColor rgb="FF0F766E"/>
      </x:patternFill>
    </x:fill>
  </x:fills>
  <x:borders count="3">
    <x:border/>
    <x:border/>
    <x:border/>
  </x:borders>
  <x:cellStyleXfs count="2">
    <x:xf numFmtId="0" fontId="0" fillId="0" borderId="1"/>
    <x:xf numFmtId="0" fontId="6" fillId="0" borderId="2"/>
  </x:cellStyleXfs>
  <x:cellXfs count="120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wrapText="1"/>
    </x:xf>
    <x:xf numFmtId="0" fontId="1" fillId="2" borderId="0" xfId="0" applyAlignment="1">
      <x:alignment horizontal="center" wrapText="1"/>
    </x:xf>
    <x:xf numFmtId="0" fontId="1" fillId="2" borderId="0" xfId="0" applyAlignment="1">
      <x:alignment horizontal="center" vertical="center" wrapText="1"/>
    </x:xf>
    <x:xf numFmtId="0" fontId="0" fillId="2" borderId="1" xfId="0"/>
    <x:xf numFmtId="0" fontId="1" fillId="2" borderId="1" xfId="0"/>
    <x:xf numFmtId="0" fontId="1" fillId="2" borderId="1" xfId="0" applyAlignment="1">
      <x:alignment wrapText="1"/>
    </x:xf>
    <x:xf numFmtId="0" fontId="1" fillId="2" borderId="1" xfId="0" applyAlignment="1">
      <x:alignment horizontal="center" wrapText="1"/>
    </x:xf>
    <x:xf numFmtId="0" fontId="1" fillId="2" borderId="1" xfId="0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0" borderId="1" xfId="0" applyAlignment="1">
      <x:alignment wrapText="1"/>
    </x:xf>
    <x:xf numFmtId="0" fontId="0" fillId="0" borderId="1" xfId="0" applyAlignment="1">
      <x:alignment vertical="top" wrapText="1"/>
    </x:xf>
    <x:xf numFmtId="0" fontId="0" fillId="3" borderId="0" xfId="0"/>
    <x:xf numFmtId="0" fontId="1" fillId="3" borderId="0" xfId="0"/>
    <x:xf numFmtId="0" fontId="1" fillId="3" borderId="0" xfId="0" applyAlignment="1">
      <x:alignment wrapText="1"/>
    </x:xf>
    <x:xf numFmtId="0" fontId="1" fillId="3" borderId="0" xfId="0" applyAlignment="1">
      <x:alignment horizontal="center" wrapText="1"/>
    </x:xf>
    <x:xf numFmtId="0" fontId="1" fillId="3" borderId="0" xfId="0" applyAlignment="1">
      <x:alignment horizontal="center" vertical="center" wrapText="1"/>
    </x:xf>
    <x:xf numFmtId="0" fontId="0" fillId="3" borderId="1" xfId="0"/>
    <x:xf numFmtId="0" fontId="1" fillId="3" borderId="1" xfId="0"/>
    <x:xf numFmtId="0" fontId="1" fillId="3" borderId="1" xfId="0" applyAlignment="1">
      <x:alignment wrapText="1"/>
    </x:xf>
    <x:xf numFmtId="0" fontId="1" fillId="3" borderId="1" xfId="0" applyAlignment="1">
      <x:alignment horizontal="center" wrapText="1"/>
    </x:xf>
    <x:xf numFmtId="0" fontId="1" fillId="3" borderId="1" xfId="0" applyAlignment="1">
      <x:alignment horizontal="center" vertical="center" wrapText="1"/>
    </x:xf>
    <x:xf numFmtId="0" fontId="0" fillId="4" borderId="0" xfId="0"/>
    <x:xf numFmtId="0" fontId="1" fillId="4" borderId="0" xfId="0"/>
    <x:xf numFmtId="0" fontId="1" fillId="4" borderId="0" xfId="0" applyAlignment="1">
      <x:alignment wrapText="1"/>
    </x:xf>
    <x:xf numFmtId="0" fontId="1" fillId="4" borderId="0" xfId="0" applyAlignment="1">
      <x:alignment horizontal="center" wrapText="1"/>
    </x:xf>
    <x:xf numFmtId="0" fontId="0" fillId="4" borderId="1" xfId="0"/>
    <x:xf numFmtId="0" fontId="1" fillId="4" borderId="1" xfId="0"/>
    <x:xf numFmtId="0" fontId="1" fillId="4" borderId="1" xfId="0" applyAlignment="1">
      <x:alignment wrapText="1"/>
    </x:xf>
    <x:xf numFmtId="0" fontId="1" fillId="4" borderId="1" xfId="0" applyAlignment="1">
      <x:alignment horizontal="center" wrapText="1"/>
    </x:xf>
    <x:xf numFmtId="0" fontId="0" fillId="5" borderId="0" xfId="0"/>
    <x:xf numFmtId="0" fontId="1" fillId="5" borderId="0" xfId="0"/>
    <x:xf numFmtId="0" fontId="0" fillId="5" borderId="1" xfId="0"/>
    <x:xf numFmtId="0" fontId="1" fillId="5" borderId="1" xfId="0"/>
    <x:xf numFmtId="0" fontId="1" fillId="5" borderId="0" xfId="0" applyAlignment="1">
      <x:alignment wrapText="1"/>
    </x:xf>
    <x:xf numFmtId="0" fontId="1" fillId="5" borderId="1" xfId="0" applyAlignment="1">
      <x:alignment wrapText="1"/>
    </x:xf>
    <x:xf numFmtId="0" fontId="2" fillId="3" borderId="0" xfId="0"/>
    <x:xf numFmtId="0" fontId="2" fillId="3" borderId="0" xfId="0" applyAlignment="1">
      <x:alignment horizontal="center"/>
    </x:xf>
    <x:xf numFmtId="0" fontId="2" fillId="3" borderId="0" xfId="0" applyAlignment="1">
      <x:alignment horizontal="center" vertical="center"/>
    </x:xf>
    <x:xf numFmtId="0" fontId="2" fillId="3" borderId="1" xfId="0"/>
    <x:xf numFmtId="0" fontId="2" fillId="3" borderId="1" xfId="0" applyAlignment="1">
      <x:alignment horizontal="center"/>
    </x:xf>
    <x:xf numFmtId="0" fontId="2" fillId="3" borderId="1" xfId="0" applyAlignment="1">
      <x:alignment horizontal="center" vertical="center"/>
    </x:xf>
    <x:xf numFmtId="0" fontId="0" fillId="6" borderId="0" xfId="0"/>
    <x:xf numFmtId="0" fontId="3" fillId="6" borderId="0" xfId="0"/>
    <x:xf numFmtId="0" fontId="3" fillId="6" borderId="0" xfId="0" applyAlignment="1">
      <x:alignment horizontal="center"/>
    </x:xf>
    <x:xf numFmtId="0" fontId="0" fillId="6" borderId="1" xfId="0"/>
    <x:xf numFmtId="0" fontId="3" fillId="6" borderId="1" xfId="0"/>
    <x:xf numFmtId="0" fontId="3" fillId="6" borderId="1" xfId="0" applyAlignment="1">
      <x:alignment horizontal="center"/>
    </x:xf>
    <x:xf numFmtId="0" fontId="1" fillId="2" borderId="0" xfId="0" applyAlignment="1">
      <x:alignment horizontal="center"/>
    </x:xf>
    <x:xf numFmtId="0" fontId="1" fillId="2" borderId="1" xfId="0" applyAlignment="1">
      <x:alignment horizontal="center"/>
    </x:xf>
    <x:xf numFmtId="0" fontId="0" fillId="7" borderId="0" xfId="0"/>
    <x:xf numFmtId="0" fontId="4" fillId="7" borderId="0" xfId="0"/>
    <x:xf numFmtId="0" fontId="4" fillId="7" borderId="0" xfId="0" applyAlignment="1">
      <x:alignment horizontal="center"/>
    </x:xf>
    <x:xf numFmtId="0" fontId="4" fillId="7" borderId="0" xfId="0" applyAlignment="1">
      <x:alignment horizontal="center" vertical="center"/>
    </x:xf>
    <x:xf numFmtId="0" fontId="0" fillId="7" borderId="1" xfId="0"/>
    <x:xf numFmtId="0" fontId="4" fillId="7" borderId="1" xfId="0"/>
    <x:xf numFmtId="0" fontId="4" fillId="7" borderId="1" xfId="0" applyAlignment="1">
      <x:alignment horizontal="center"/>
    </x:xf>
    <x:xf numFmtId="0" fontId="4" fillId="7" borderId="1" xfId="0" applyAlignment="1">
      <x:alignment horizontal="center" vertical="center"/>
    </x:xf>
    <x:xf numFmtId="0" fontId="0" fillId="8" borderId="0" xfId="0"/>
    <x:xf numFmtId="0" fontId="0" fillId="8" borderId="0" xfId="0" applyAlignment="1">
      <x:alignment wrapText="1"/>
    </x:xf>
    <x:xf numFmtId="0" fontId="0" fillId="8" borderId="1" xfId="0"/>
    <x:xf numFmtId="0" fontId="0" fillId="8" borderId="1" xfId="0" applyAlignment="1">
      <x:alignment wrapText="1"/>
    </x:xf>
    <x:xf numFmtId="0" fontId="0" fillId="9" borderId="0" xfId="0"/>
    <x:xf numFmtId="0" fontId="0" fillId="9" borderId="0" xfId="0" applyAlignment="1">
      <x:alignment wrapText="1"/>
    </x:xf>
    <x:xf numFmtId="0" fontId="0" fillId="9" borderId="1" xfId="0"/>
    <x:xf numFmtId="0" fontId="0" fillId="9" borderId="1" xfId="0" applyAlignment="1">
      <x:alignment wrapText="1"/>
    </x:xf>
    <x:xf numFmtId="0" fontId="0" fillId="10" borderId="0" xfId="0"/>
    <x:xf numFmtId="0" fontId="5" fillId="10" borderId="0" xfId="0"/>
    <x:xf numFmtId="0" fontId="6" fillId="0" borderId="2" xfId="1"/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6" fillId="0" borderId="0" xfId="0" applyNumberFormat="1" applyFont="1" applyFill="1" applyBorder="1"/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wrapText="1"/>
    </x:xf>
  </x:cellXfs>
  <x:cellStyles count="2">
    <x:cellStyle name="Normal" xfId="0"/>
    <x:cellStyle name="Hyperlink" xfId="1"/>
  </x:cellStyles>
  <x:dxfs count="66">
    <x:dxf>
      <x:font>
        <x:b/>
        <x:color rgb="FF9D174D"/>
      </x:font>
      <x:fill>
        <x:patternFill>
          <x:bgColor rgb="FFFCE7F3"/>
        </x:patternFill>
      </x:fill>
    </x:dxf>
    <x:dxf>
      <x:font>
        <x:color rgb="FF4B5563"/>
      </x:font>
      <x:fill>
        <x:patternFill>
          <x:bgColor rgb="FFF3F4F6"/>
        </x:patternFill>
      </x:fill>
    </x:dxf>
    <x:dxf>
      <x:font>
        <x:color rgb="FF1D4ED8"/>
      </x:font>
      <x:fill>
        <x:patternFill>
          <x:bgColor rgb="FFDBEAFE"/>
        </x:patternFill>
      </x:fill>
    </x:dxf>
    <x:dxf>
      <x:font>
        <x:color rgb="FF1E40AF"/>
      </x:font>
      <x:fill>
        <x:patternFill>
          <x:bgColor rgb="FFBFDBFE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78350F"/>
      </x:font>
      <x:fill>
        <x:patternFill>
          <x:bgColor rgb="FFFDE68A"/>
        </x:patternFill>
      </x:fill>
    </x:dxf>
    <x:dxf>
      <x:font>
        <x:color rgb="FF3730A3"/>
      </x:font>
      <x:fill>
        <x:patternFill>
          <x:bgColor rgb="FFE0E7FF"/>
        </x:patternFill>
      </x:fill>
    </x:dxf>
    <x:dxf>
      <x:font>
        <x:b/>
        <x:color rgb="FF5B21B6"/>
      </x:font>
      <x:fill>
        <x:patternFill>
          <x:bgColor rgb="FFEDE9FE"/>
        </x:patternFill>
      </x:fill>
    </x:dxf>
    <x:dxf>
      <x:font>
        <x:b/>
        <x:color rgb="FF4C1D95"/>
      </x:font>
      <x:fill>
        <x:patternFill>
          <x:bgColor rgb="FFDDD6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374151"/>
      </x:font>
      <x:fill>
        <x:patternFill>
          <x:bgColor rgb="FFE5E7EB"/>
        </x:patternFill>
      </x:fill>
    </x:dxf>
    <x:dxf>
      <x:font>
        <x:color rgb="FF374151"/>
      </x:font>
      <x:fill>
        <x:patternFill>
          <x:bgColor rgb="FFE5E7EB"/>
        </x:patternFill>
      </x:fill>
    </x:dxf>
    <x:dxf>
      <x:font>
        <x:color rgb="FF6B7280"/>
      </x:font>
      <x:fill>
        <x:patternFill>
          <x:bgColor rgb="FFF3F4F6"/>
        </x:patternFill>
      </x:fill>
    </x:dxf>
    <x:dxf>
      <x:font>
        <x:color rgb="FF4B5563"/>
      </x:font>
      <x:fill>
        <x:patternFill>
          <x:bgColor rgb="FFF3F4F6"/>
        </x:patternFill>
      </x:fill>
    </x:dxf>
    <x:dxf>
      <x:font>
        <x:color rgb="FF1D4ED8"/>
      </x:font>
      <x:fill>
        <x:patternFill>
          <x:bgColor rgb="FFDBEAFE"/>
        </x:patternFill>
      </x:fill>
    </x:dxf>
    <x:dxf>
      <x:font>
        <x:color rgb="FF1E40AF"/>
      </x:font>
      <x:fill>
        <x:patternFill>
          <x:bgColor rgb="FFBFDBFE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78350F"/>
      </x:font>
      <x:fill>
        <x:patternFill>
          <x:bgColor rgb="FFFDE68A"/>
        </x:patternFill>
      </x:fill>
    </x:dxf>
    <x:dxf>
      <x:font>
        <x:color rgb="FF3730A3"/>
      </x:font>
      <x:fill>
        <x:patternFill>
          <x:bgColor rgb="FFE0E7FF"/>
        </x:patternFill>
      </x:fill>
    </x:dxf>
    <x:dxf>
      <x:font>
        <x:b/>
        <x:color rgb="FF5B21B6"/>
      </x:font>
      <x:fill>
        <x:patternFill>
          <x:bgColor rgb="FFEDE9FE"/>
        </x:patternFill>
      </x:fill>
    </x:dxf>
    <x:dxf>
      <x:font>
        <x:b/>
        <x:color rgb="FF4C1D95"/>
      </x:font>
      <x:fill>
        <x:patternFill>
          <x:bgColor rgb="FFDDD6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374151"/>
      </x:font>
      <x:fill>
        <x:patternFill>
          <x:bgColor rgb="FFE5E7EB"/>
        </x:patternFill>
      </x:fill>
    </x:dxf>
    <x:dxf>
      <x:font>
        <x:color rgb="FF374151"/>
      </x:font>
      <x:fill>
        <x:patternFill>
          <x:bgColor rgb="FFE5E7EB"/>
        </x:patternFill>
      </x:fill>
    </x:dxf>
    <x:dxf>
      <x:font>
        <x:color rgb="FF6B7280"/>
      </x:font>
      <x:fill>
        <x:patternFill>
          <x:bgColor rgb="FFF3F4F6"/>
        </x:patternFill>
      </x:fill>
    </x:dxf>
    <x:dxf>
      <x:font>
        <x:color rgb="FF4B5563"/>
      </x:font>
      <x:fill>
        <x:patternFill>
          <x:bgColor rgb="FFF3F4F6"/>
        </x:patternFill>
      </x:fill>
    </x:dxf>
    <x:dxf>
      <x:font>
        <x:color rgb="FF1D4ED8"/>
      </x:font>
      <x:fill>
        <x:patternFill>
          <x:bgColor rgb="FFDBEAFE"/>
        </x:patternFill>
      </x:fill>
    </x:dxf>
    <x:dxf>
      <x:font>
        <x:color rgb="FF1E40AF"/>
      </x:font>
      <x:fill>
        <x:patternFill>
          <x:bgColor rgb="FFBFDBFE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78350F"/>
      </x:font>
      <x:fill>
        <x:patternFill>
          <x:bgColor rgb="FFFDE68A"/>
        </x:patternFill>
      </x:fill>
    </x:dxf>
    <x:dxf>
      <x:font>
        <x:color rgb="FF3730A3"/>
      </x:font>
      <x:fill>
        <x:patternFill>
          <x:bgColor rgb="FFE0E7FF"/>
        </x:patternFill>
      </x:fill>
    </x:dxf>
    <x:dxf>
      <x:font>
        <x:b/>
        <x:color rgb="FF5B21B6"/>
      </x:font>
      <x:fill>
        <x:patternFill>
          <x:bgColor rgb="FFEDE9FE"/>
        </x:patternFill>
      </x:fill>
    </x:dxf>
    <x:dxf>
      <x:font>
        <x:b/>
        <x:color rgb="FF4C1D95"/>
      </x:font>
      <x:fill>
        <x:patternFill>
          <x:bgColor rgb="FFDDD6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374151"/>
      </x:font>
      <x:fill>
        <x:patternFill>
          <x:bgColor rgb="FFE5E7EB"/>
        </x:patternFill>
      </x:fill>
    </x:dxf>
    <x:dxf>
      <x:font>
        <x:color rgb="FF374151"/>
      </x:font>
      <x:fill>
        <x:patternFill>
          <x:bgColor rgb="FFE5E7EB"/>
        </x:patternFill>
      </x:fill>
    </x:dxf>
    <x:dxf>
      <x:font>
        <x:color rgb="FF6B7280"/>
      </x:font>
      <x:fill>
        <x:patternFill>
          <x:bgColor rgb="FFF3F4F6"/>
        </x:patternFill>
      </x:fill>
    </x:dxf>
    <x:dxf>
      <x:font>
        <x:color rgb="FF4B5563"/>
      </x:font>
      <x:fill>
        <x:patternFill>
          <x:bgColor rgb="FFF3F4F6"/>
        </x:patternFill>
      </x:fill>
    </x:dxf>
    <x:dxf>
      <x:font>
        <x:color rgb="FF1D4ED8"/>
      </x:font>
      <x:fill>
        <x:patternFill>
          <x:bgColor rgb="FFDBEAFE"/>
        </x:patternFill>
      </x:fill>
    </x:dxf>
    <x:dxf>
      <x:font>
        <x:color rgb="FF1E40AF"/>
      </x:font>
      <x:fill>
        <x:patternFill>
          <x:bgColor rgb="FFBFDBFE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78350F"/>
      </x:font>
      <x:fill>
        <x:patternFill>
          <x:bgColor rgb="FFFDE68A"/>
        </x:patternFill>
      </x:fill>
    </x:dxf>
    <x:dxf>
      <x:font>
        <x:color rgb="FF3730A3"/>
      </x:font>
      <x:fill>
        <x:patternFill>
          <x:bgColor rgb="FFE0E7FF"/>
        </x:patternFill>
      </x:fill>
    </x:dxf>
    <x:dxf>
      <x:font>
        <x:b/>
        <x:color rgb="FF5B21B6"/>
      </x:font>
      <x:fill>
        <x:patternFill>
          <x:bgColor rgb="FFEDE9FE"/>
        </x:patternFill>
      </x:fill>
    </x:dxf>
    <x:dxf>
      <x:font>
        <x:b/>
        <x:color rgb="FF4C1D95"/>
      </x:font>
      <x:fill>
        <x:patternFill>
          <x:bgColor rgb="FFDDD6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374151"/>
      </x:font>
      <x:fill>
        <x:patternFill>
          <x:bgColor rgb="FFE5E7EB"/>
        </x:patternFill>
      </x:fill>
    </x:dxf>
    <x:dxf>
      <x:font>
        <x:color rgb="FF374151"/>
      </x:font>
      <x:fill>
        <x:patternFill>
          <x:bgColor rgb="FFE5E7EB"/>
        </x:patternFill>
      </x:fill>
    </x:dxf>
    <x:dxf>
      <x:font>
        <x:color rgb="FF6B7280"/>
      </x:font>
      <x:fill>
        <x:patternFill>
          <x:bgColor rgb="FFF3F4F6"/>
        </x:patternFill>
      </x:fill>
    </x:dxf>
    <x:dxf>
      <x:font>
        <x:color rgb="FF4B5563"/>
      </x:font>
      <x:fill>
        <x:patternFill>
          <x:bgColor rgb="FFF3F4F6"/>
        </x:patternFill>
      </x:fill>
    </x:dxf>
    <x:dxf>
      <x:font>
        <x:color rgb="FF1D4ED8"/>
      </x:font>
      <x:fill>
        <x:patternFill>
          <x:bgColor rgb="FFDBEAFE"/>
        </x:patternFill>
      </x:fill>
    </x:dxf>
    <x:dxf>
      <x:font>
        <x:color rgb="FF1E40AF"/>
      </x:font>
      <x:fill>
        <x:patternFill>
          <x:bgColor rgb="FFBFDBFE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78350F"/>
      </x:font>
      <x:fill>
        <x:patternFill>
          <x:bgColor rgb="FFFDE68A"/>
        </x:patternFill>
      </x:fill>
    </x:dxf>
    <x:dxf>
      <x:font>
        <x:color rgb="FF3730A3"/>
      </x:font>
      <x:fill>
        <x:patternFill>
          <x:bgColor rgb="FFE0E7FF"/>
        </x:patternFill>
      </x:fill>
    </x:dxf>
    <x:dxf>
      <x:font>
        <x:b/>
        <x:color rgb="FF5B21B6"/>
      </x:font>
      <x:fill>
        <x:patternFill>
          <x:bgColor rgb="FFEDE9FE"/>
        </x:patternFill>
      </x:fill>
    </x:dxf>
    <x:dxf>
      <x:font>
        <x:b/>
        <x:color rgb="FF4C1D95"/>
      </x:font>
      <x:fill>
        <x:patternFill>
          <x:bgColor rgb="FFDDD6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374151"/>
      </x:font>
      <x:fill>
        <x:patternFill>
          <x:bgColor rgb="FFE5E7EB"/>
        </x:patternFill>
      </x:fill>
    </x:dxf>
    <x:dxf>
      <x:font>
        <x:color rgb="FF374151"/>
      </x:font>
      <x:fill>
        <x:patternFill>
          <x:bgColor rgb="FFE5E7EB"/>
        </x:patternFill>
      </x:fill>
    </x:dxf>
    <x:dxf>
      <x:font>
        <x:color rgb="FF6B7280"/>
      </x:font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445ecb92064802" /><Relationship Type="http://schemas.openxmlformats.org/officeDocument/2006/relationships/theme" Target="/xl/theme/theme1.xml" Id="R752d0511d7d949ba" /><Relationship Type="http://schemas.openxmlformats.org/officeDocument/2006/relationships/sharedStrings" Target="/xl/sharedStrings.xml" Id="Rc56f96f05a164176" /><Relationship Type="http://schemas.openxmlformats.org/officeDocument/2006/relationships/worksheet" Target="/xl/worksheets/sheet1.xml" Id="R026985bd8dd94187" /><Relationship Type="http://schemas.openxmlformats.org/officeDocument/2006/relationships/worksheet" Target="/xl/worksheets/sheet2.xml" Id="Rbc741e9bfb1f4642" /><Relationship Type="http://schemas.openxmlformats.org/officeDocument/2006/relationships/worksheet" Target="/xl/worksheets/sheet3.xml" Id="Rf4ebd930204d49c4" /><Relationship Type="http://schemas.openxmlformats.org/officeDocument/2006/relationships/worksheet" Target="/xl/worksheets/sheet4.xml" Id="Rfdd051ba465a4cba" /><Relationship Type="http://schemas.openxmlformats.org/officeDocument/2006/relationships/worksheet" Target="/xl/worksheets/sheet5.xml" Id="R4cc386864f334d0d" /><Relationship Type="http://schemas.openxmlformats.org/officeDocument/2006/relationships/worksheet" Target="/xl/worksheets/sheet6.xml" Id="Rc2adffe70b574e76" /></Relationships>
</file>

<file path=xl/tables/table1.xml><?xml version="1.0" encoding="utf-8"?>
<x:table xmlns:x="http://schemas.openxmlformats.org/spreadsheetml/2006/main" id="1" name="ApplyFirstTable" displayName="ApplyFirstTable" ref="A1:O30" headerRowCount="1" totalsRowCount="0" totalsRowShown="0">
  <x:tableColumns count="15">
    <x:tableColumn id="1" name="Priority"/>
    <x:tableColumn id="2" name="Company"/>
    <x:tableColumn id="3" name="Role"/>
    <x:tableColumn id="4" name="Track"/>
    <x:tableColumn id="5" name="Location"/>
    <x:tableColumn id="6" name="Experience / Level"/>
    <x:tableColumn id="7" name="H-1B / Visa Signal"/>
    <x:tableColumn id="8" name="Resume Fit"/>
    <x:tableColumn id="9" name="Compensation"/>
    <x:tableColumn id="10" name="Apply"/>
    <x:tableColumn id="11" name="Exact Employer URL"/>
    <x:tableColumn id="12" name="Checked"/>
    <x:tableColumn id="13" name="Status"/>
    <x:tableColumn id="14" name="Date Applied"/>
    <x:tableColumn id="15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irectJobsTable" displayName="DirectJobsTable" ref="A1:O67" headerRowCount="1" totalsRowCount="0" totalsRowShown="0">
  <x:tableColumns count="15">
    <x:tableColumn id="1" name="Priority"/>
    <x:tableColumn id="2" name="Company"/>
    <x:tableColumn id="3" name="Role"/>
    <x:tableColumn id="4" name="Track"/>
    <x:tableColumn id="5" name="Location"/>
    <x:tableColumn id="6" name="Experience / Level"/>
    <x:tableColumn id="7" name="H-1B / Visa Signal"/>
    <x:tableColumn id="8" name="Resume Fit"/>
    <x:tableColumn id="9" name="Compensation"/>
    <x:tableColumn id="10" name="Apply"/>
    <x:tableColumn id="11" name="Exact Employer URL"/>
    <x:tableColumn id="12" name="Checked"/>
    <x:tableColumn id="13" name="Status"/>
    <x:tableColumn id="14" name="Date Applied"/>
    <x:tableColumn id="15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sumeBestTable" displayName="ResumeBestTable" ref="A1:O36" headerRowCount="1" totalsRowCount="0" totalsRowShown="0">
  <x:tableColumns count="15">
    <x:tableColumn id="1" name="Priority"/>
    <x:tableColumn id="2" name="Company"/>
    <x:tableColumn id="3" name="Role"/>
    <x:tableColumn id="4" name="Track"/>
    <x:tableColumn id="5" name="Location"/>
    <x:tableColumn id="6" name="Experience / Level"/>
    <x:tableColumn id="7" name="H-1B / Visa Signal"/>
    <x:tableColumn id="8" name="Resume Fit"/>
    <x:tableColumn id="9" name="Compensation"/>
    <x:tableColumn id="10" name="Apply"/>
    <x:tableColumn id="11" name="Exact Employer URL"/>
    <x:tableColumn id="12" name="Checked"/>
    <x:tableColumn id="13" name="Status"/>
    <x:tableColumn id="14" name="Date Applied"/>
    <x:tableColumn id="15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job-boards.greenhouse.io/togetherai/jobs/5238471007" TargetMode="External" Id="R59bfb734f9a0488f" /><Relationship Type="http://schemas.openxmlformats.org/officeDocument/2006/relationships/hyperlink" Target="https://www.rubrik.com/company/careers/departments/job.8243737?gh_jid=8243737" TargetMode="External" Id="Rabf1bbfd8c374321" /><Relationship Type="http://schemas.openxmlformats.org/officeDocument/2006/relationships/hyperlink" Target="https://jobs.ashbyhq.com/applied/a561fff8-aa38-4a5d-8b29-66c191f7328e/" TargetMode="External" Id="R6c7dfbc5eb7440af" /><Relationship Type="http://schemas.openxmlformats.org/officeDocument/2006/relationships/hyperlink" Target="https://jobs.ashbyhq.com/1password/49f0fe51-fcdc-46d8-a046-35f357b0cf6e/" TargetMode="External" Id="Rcaaeb8d836aa4f94" /><Relationship Type="http://schemas.openxmlformats.org/officeDocument/2006/relationships/hyperlink" Target="https://crowdstrike.wd5.myworkdayjobs.com/en-US/crowdstrikecareers/job/Associate-Analyst--Falcon-Complete_R30082" TargetMode="External" Id="Rfb91904912444fcb" /><Relationship Type="http://schemas.openxmlformats.org/officeDocument/2006/relationships/hyperlink" Target="https://bloomberg.wd1.myworkdayjobs.com/en-US/Bloombergindustrygroup_External_Career_Site/job/Application-Security-Engineer-I_142068-1" TargetMode="External" Id="R3c49eab84d3843d2" /><Relationship Type="http://schemas.openxmlformats.org/officeDocument/2006/relationships/hyperlink" Target="https://teamcymru.applytojob.com/apply/i2C3uTjEtS/Threat-Intelligence-Analyst" TargetMode="External" Id="R0300265aa8644bb9" /><Relationship Type="http://schemas.openxmlformats.org/officeDocument/2006/relationships/hyperlink" Target="https://recruiting.paylocity.com/recruiting/jobs/Details/4503952/Binary-Defense/Tier-1-SOC-Analyst---REMOTE" TargetMode="External" Id="Rb0df01a9f6d64d18" /><Relationship Type="http://schemas.openxmlformats.org/officeDocument/2006/relationships/hyperlink" Target="https://sailpoint.wd1.myworkdayjobs.com/en-US/SailPoint/job/Associate-Security-Software-Engineer_R013786" TargetMode="External" Id="Re904bc7fe7a0492c" /><Relationship Type="http://schemas.openxmlformats.org/officeDocument/2006/relationships/hyperlink" Target="https://job-boards.greenhouse.io/idme/jobs/7808011003" TargetMode="External" Id="R6f44f375c8fd436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job-boards.greenhouse.io/togetherai/jobs/5238471007" TargetMode="External" Id="Rf11ed172cb234a62" /><Relationship Type="http://schemas.openxmlformats.org/officeDocument/2006/relationships/hyperlink" Target="https://job-boards.greenhouse.io/togetherai/jobs/5238471007" TargetMode="External" Id="R1976dea6ae524bc0" /><Relationship Type="http://schemas.openxmlformats.org/officeDocument/2006/relationships/hyperlink" Target="https://www.rubrik.com/company/careers/departments/job.8243737?gh_jid=8243737" TargetMode="External" Id="R95c5aba4a5fa4624" /><Relationship Type="http://schemas.openxmlformats.org/officeDocument/2006/relationships/hyperlink" Target="https://www.rubrik.com/company/careers/departments/job.8243737?gh_jid=8243737" TargetMode="External" Id="Re6a21d82f6d54b4d" /><Relationship Type="http://schemas.openxmlformats.org/officeDocument/2006/relationships/hyperlink" Target="https://jobs.ashbyhq.com/applied/a561fff8-aa38-4a5d-8b29-66c191f7328e/" TargetMode="External" Id="Rf3548787e6c94571" /><Relationship Type="http://schemas.openxmlformats.org/officeDocument/2006/relationships/hyperlink" Target="https://jobs.ashbyhq.com/applied/a561fff8-aa38-4a5d-8b29-66c191f7328e/" TargetMode="External" Id="R30b153f71b744431" /><Relationship Type="http://schemas.openxmlformats.org/officeDocument/2006/relationships/hyperlink" Target="https://jobs.ashbyhq.com/1password/49f0fe51-fcdc-46d8-a046-35f357b0cf6e/" TargetMode="External" Id="Rd91d2bf057574fb1" /><Relationship Type="http://schemas.openxmlformats.org/officeDocument/2006/relationships/hyperlink" Target="https://jobs.ashbyhq.com/1password/49f0fe51-fcdc-46d8-a046-35f357b0cf6e/" TargetMode="External" Id="R1969d0b64426472a" /><Relationship Type="http://schemas.openxmlformats.org/officeDocument/2006/relationships/hyperlink" Target="https://crowdstrike.wd5.myworkdayjobs.com/en-US/crowdstrikecareers/job/Associate-Analyst--Falcon-Complete_R30082" TargetMode="External" Id="Rbde4f981383c4abc" /><Relationship Type="http://schemas.openxmlformats.org/officeDocument/2006/relationships/hyperlink" Target="https://crowdstrike.wd5.myworkdayjobs.com/en-US/crowdstrikecareers/job/Associate-Analyst--Falcon-Complete_R30082" TargetMode="External" Id="R56373c85cef640dc" /><Relationship Type="http://schemas.openxmlformats.org/officeDocument/2006/relationships/hyperlink" Target="https://bloomberg.wd1.myworkdayjobs.com/en-US/Bloombergindustrygroup_External_Career_Site/job/Application-Security-Engineer-I_142068-1" TargetMode="External" Id="R20771940001a43b2" /><Relationship Type="http://schemas.openxmlformats.org/officeDocument/2006/relationships/hyperlink" Target="https://bloomberg.wd1.myworkdayjobs.com/en-US/Bloombergindustrygroup_External_Career_Site/job/Application-Security-Engineer-I_142068-1" TargetMode="External" Id="R3455bb69d6654bc0" /><Relationship Type="http://schemas.openxmlformats.org/officeDocument/2006/relationships/hyperlink" Target="https://teamcymru.applytojob.com/apply/i2C3uTjEtS/Threat-Intelligence-Analyst" TargetMode="External" Id="Rcfd098aa756b4279" /><Relationship Type="http://schemas.openxmlformats.org/officeDocument/2006/relationships/hyperlink" Target="https://teamcymru.applytojob.com/apply/i2C3uTjEtS/Threat-Intelligence-Analyst" TargetMode="External" Id="R2519de53429943e9" /><Relationship Type="http://schemas.openxmlformats.org/officeDocument/2006/relationships/hyperlink" Target="https://recruiting.paylocity.com/recruiting/jobs/Details/4503952/Binary-Defense/Tier-1-SOC-Analyst---REMOTE" TargetMode="External" Id="R102d5bd834994c64" /><Relationship Type="http://schemas.openxmlformats.org/officeDocument/2006/relationships/hyperlink" Target="https://recruiting.paylocity.com/recruiting/jobs/Details/4503952/Binary-Defense/Tier-1-SOC-Analyst---REMOTE" TargetMode="External" Id="Rd9da1255d74c498f" /><Relationship Type="http://schemas.openxmlformats.org/officeDocument/2006/relationships/hyperlink" Target="https://sailpoint.wd1.myworkdayjobs.com/en-US/SailPoint/job/Associate-Security-Software-Engineer_R013786" TargetMode="External" Id="Rdbd3a3892ea949a1" /><Relationship Type="http://schemas.openxmlformats.org/officeDocument/2006/relationships/hyperlink" Target="https://sailpoint.wd1.myworkdayjobs.com/en-US/SailPoint/job/Associate-Security-Software-Engineer_R013786" TargetMode="External" Id="Rd5c532dba11a41f6" /><Relationship Type="http://schemas.openxmlformats.org/officeDocument/2006/relationships/hyperlink" Target="https://job-boards.greenhouse.io/idme/jobs/7808011003" TargetMode="External" Id="R8f8ce0426be04216" /><Relationship Type="http://schemas.openxmlformats.org/officeDocument/2006/relationships/hyperlink" Target="https://job-boards.greenhouse.io/idme/jobs/7808011003" TargetMode="External" Id="R20f4169d953f4a4e" /><Relationship Type="http://schemas.openxmlformats.org/officeDocument/2006/relationships/hyperlink" Target="https://jobs.ashbyhq.com/1password/aac7eea6-ed7c-4871-bbf2-7cb2d5138847" TargetMode="External" Id="R08824226af45451f" /><Relationship Type="http://schemas.openxmlformats.org/officeDocument/2006/relationships/hyperlink" Target="https://jobs.ashbyhq.com/1password/aac7eea6-ed7c-4871-bbf2-7cb2d5138847" TargetMode="External" Id="R0829e9e7aaa8451f" /><Relationship Type="http://schemas.openxmlformats.org/officeDocument/2006/relationships/hyperlink" Target="https://ciena.wd5.myworkdayjobs.com/careers/job/Atlanta/Software-Engineer--Security----Intern--Winter-2027-_R031926" TargetMode="External" Id="R4139528fb1d0464c" /><Relationship Type="http://schemas.openxmlformats.org/officeDocument/2006/relationships/hyperlink" Target="https://ciena.wd5.myworkdayjobs.com/careers/job/Atlanta/Software-Engineer--Security----Intern--Winter-2027-_R031926" TargetMode="External" Id="Rd4d8f2de19b044a5" /><Relationship Type="http://schemas.openxmlformats.org/officeDocument/2006/relationships/hyperlink" Target="https://careers.gtri.gatech.edu/jobs/general-cybersecurity-graduate-intern-cipher-spring-2027-atlanta-georgia-united-states" TargetMode="External" Id="R7ce4d44b5be2453a" /><Relationship Type="http://schemas.openxmlformats.org/officeDocument/2006/relationships/hyperlink" Target="https://careers.gtri.gatech.edu/jobs/general-cybersecurity-graduate-intern-cipher-spring-2027-atlanta-georgia-united-states" TargetMode="External" Id="R9f539a0b312f43ba" /><Relationship Type="http://schemas.openxmlformats.org/officeDocument/2006/relationships/hyperlink" Target="https://careers.snowflake.com/us/en/job/7139a002-dbe3-4693-8cbc-5b780db1d29d/Incident-Response-Engineer" TargetMode="External" Id="R9cabdcfd805c4759" /><Relationship Type="http://schemas.openxmlformats.org/officeDocument/2006/relationships/hyperlink" Target="https://careers.snowflake.com/us/en/job/7139a002-dbe3-4693-8cbc-5b780db1d29d/Incident-Response-Engineer" TargetMode="External" Id="R04f7ee78383b40ba" /><Relationship Type="http://schemas.openxmlformats.org/officeDocument/2006/relationships/hyperlink" Target="https://www.google.com/about/careers/applications/jobs/results/87068925161808582-cyber-defense-detection-engineer-mandiant-google-cloud" TargetMode="External" Id="R96ec93fbdf704eb0" /><Relationship Type="http://schemas.openxmlformats.org/officeDocument/2006/relationships/hyperlink" Target="https://www.google.com/about/careers/applications/jobs/results/87068925161808582-cyber-defense-detection-engineer-mandiant-google-cloud" TargetMode="External" Id="Rcbdc0f6fd4184633" /><Relationship Type="http://schemas.openxmlformats.org/officeDocument/2006/relationships/hyperlink" Target="https://www.google.com/about/careers/applications/jobs/results/125813288268112582-security-engineer-ii-core-enterprise-access-security-engineering" TargetMode="External" Id="R45368bae3f4f4dcf" /><Relationship Type="http://schemas.openxmlformats.org/officeDocument/2006/relationships/hyperlink" Target="https://www.google.com/about/careers/applications/jobs/results/125813288268112582-security-engineer-ii-core-enterprise-access-security-engineering" TargetMode="External" Id="Rb194152c68864fc6" /><Relationship Type="http://schemas.openxmlformats.org/officeDocument/2006/relationships/hyperlink" Target="https://www.google.com/about/careers/applications/jobs/results/136535844847526598-security-engineer-iii-cloud-security-controls" TargetMode="External" Id="R5ffd752740e546c4" /><Relationship Type="http://schemas.openxmlformats.org/officeDocument/2006/relationships/hyperlink" Target="https://www.google.com/about/careers/applications/jobs/results/136535844847526598-security-engineer-iii-cloud-security-controls" TargetMode="External" Id="R695928567e654662" /><Relationship Type="http://schemas.openxmlformats.org/officeDocument/2006/relationships/hyperlink" Target="https://travelers.wd5.myworkdayjobs.com/External/job/CT---Hartford/Cybersecurity-Ops-Technologist---Splunk-SIEM-Engineer_R-51597" TargetMode="External" Id="Rea008057a21041bc" /><Relationship Type="http://schemas.openxmlformats.org/officeDocument/2006/relationships/hyperlink" Target="https://travelers.wd5.myworkdayjobs.com/External/job/CT---Hartford/Cybersecurity-Ops-Technologist---Splunk-SIEM-Engineer_R-51597" TargetMode="External" Id="R977f911e73c5487c" /><Relationship Type="http://schemas.openxmlformats.org/officeDocument/2006/relationships/hyperlink" Target="https://job-boards.greenhouse.io/axon/jobs/8033215003" TargetMode="External" Id="Re155f46d6ba44203" /><Relationship Type="http://schemas.openxmlformats.org/officeDocument/2006/relationships/hyperlink" Target="https://job-boards.greenhouse.io/axon/jobs/8033215003" TargetMode="External" Id="Ra16981647e274dc4" /><Relationship Type="http://schemas.openxmlformats.org/officeDocument/2006/relationships/hyperlink" Target="https://www.amazon.jobs/en/jobs/10568241/application-security-engineer" TargetMode="External" Id="R5e459e69033f4587" /><Relationship Type="http://schemas.openxmlformats.org/officeDocument/2006/relationships/hyperlink" Target="https://www.amazon.jobs/en/jobs/10568241/application-security-engineer" TargetMode="External" Id="Rc34f6062146c43e6" /><Relationship Type="http://schemas.openxmlformats.org/officeDocument/2006/relationships/hyperlink" Target="https://amazon.jobs/en/jobs/10537429/security-engineer-ii-amazon-guardduty" TargetMode="External" Id="R22744c3e91244d6b" /><Relationship Type="http://schemas.openxmlformats.org/officeDocument/2006/relationships/hyperlink" Target="https://amazon.jobs/en/jobs/10537429/security-engineer-ii-amazon-guardduty" TargetMode="External" Id="Rb9a7144408644aa8" /><Relationship Type="http://schemas.openxmlformats.org/officeDocument/2006/relationships/hyperlink" Target="https://www.amazon.jobs/en/jobs/10471418/security-engineer-ii-security-incident-response-team-sirt" TargetMode="External" Id="R384899433f9a4ae3" /><Relationship Type="http://schemas.openxmlformats.org/officeDocument/2006/relationships/hyperlink" Target="https://www.amazon.jobs/en/jobs/10471418/security-engineer-ii-security-incident-response-team-sirt" TargetMode="External" Id="Re200e7a4e95a49ed" /><Relationship Type="http://schemas.openxmlformats.org/officeDocument/2006/relationships/hyperlink" Target="https://job-boards.greenhouse.io/doordashusa/jobs/8237701-2" TargetMode="External" Id="Rf3b3519d7ac94dce" /><Relationship Type="http://schemas.openxmlformats.org/officeDocument/2006/relationships/hyperlink" Target="https://job-boards.greenhouse.io/doordashusa/jobs/8237701-2" TargetMode="External" Id="R0fedf8e6eb7f4b23" /><Relationship Type="http://schemas.openxmlformats.org/officeDocument/2006/relationships/hyperlink" Target="https://careers.homedepot.com/job/23715993/cybersecurity-engineer-ii-siem-and-edr-remote-remote/" TargetMode="External" Id="Ra7e15976d51642a8" /><Relationship Type="http://schemas.openxmlformats.org/officeDocument/2006/relationships/hyperlink" Target="https://careers.homedepot.com/job/23715993/cybersecurity-engineer-ii-siem-and-edr-remote-remote/" TargetMode="External" Id="R0e9fd8fda13042e0" /><Relationship Type="http://schemas.openxmlformats.org/officeDocument/2006/relationships/hyperlink" Target="https://job-boards.greenhouse.io/atbayjobs/jobs/5657977003" TargetMode="External" Id="R9448259e7af94f92" /><Relationship Type="http://schemas.openxmlformats.org/officeDocument/2006/relationships/hyperlink" Target="https://job-boards.greenhouse.io/atbayjobs/jobs/5657977003" TargetMode="External" Id="Rf7e7b3c981564ffd" /><Relationship Type="http://schemas.openxmlformats.org/officeDocument/2006/relationships/hyperlink" Target="https://job-boards.greenhouse.io/appian/jobs/8312417" TargetMode="External" Id="R6ab24d88c32c46ae" /><Relationship Type="http://schemas.openxmlformats.org/officeDocument/2006/relationships/hyperlink" Target="https://job-boards.greenhouse.io/appian/jobs/8312417" TargetMode="External" Id="R301ae46f98754d30" /><Relationship Type="http://schemas.openxmlformats.org/officeDocument/2006/relationships/hyperlink" Target="https://job-boards.greenhouse.io/guidepointsecurity/jobs/6225726004?gh_jid=6225726004" TargetMode="External" Id="R96bfff9299f6459c" /><Relationship Type="http://schemas.openxmlformats.org/officeDocument/2006/relationships/hyperlink" Target="https://job-boards.greenhouse.io/guidepointsecurity/jobs/6225726004?gh_jid=6225726004" TargetMode="External" Id="R969c6b06c50149cb" /><Relationship Type="http://schemas.openxmlformats.org/officeDocument/2006/relationships/hyperlink" Target="https://job-boards.greenhouse.io/twitch/jobs/8812415002" TargetMode="External" Id="R3d042d837bce4cea" /><Relationship Type="http://schemas.openxmlformats.org/officeDocument/2006/relationships/hyperlink" Target="https://job-boards.greenhouse.io/twitch/jobs/8812415002" TargetMode="External" Id="R48b3bd59f18841b8" /><Relationship Type="http://schemas.openxmlformats.org/officeDocument/2006/relationships/hyperlink" Target="https://job-boards.greenhouse.io/geotab/jobs/5230323008" TargetMode="External" Id="R9b2f7d7cd85b44e0" /><Relationship Type="http://schemas.openxmlformats.org/officeDocument/2006/relationships/hyperlink" Target="https://job-boards.greenhouse.io/geotab/jobs/5230323008" TargetMode="External" Id="R19143322d6784384" /><Relationship Type="http://schemas.openxmlformats.org/officeDocument/2006/relationships/table" Target="/xl/tables/table1.xml" Id="R9c80016a0bc14b8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job-boards.greenhouse.io/togetherai/jobs/5238471007" TargetMode="External" Id="R0f2c4a7ac66243c6" /><Relationship Type="http://schemas.openxmlformats.org/officeDocument/2006/relationships/hyperlink" Target="https://job-boards.greenhouse.io/togetherai/jobs/5238471007" TargetMode="External" Id="Rb8fc2c42a1cc40ae" /><Relationship Type="http://schemas.openxmlformats.org/officeDocument/2006/relationships/hyperlink" Target="https://www.rubrik.com/company/careers/departments/job.8243737?gh_jid=8243737" TargetMode="External" Id="R5a0d3ca294b149ab" /><Relationship Type="http://schemas.openxmlformats.org/officeDocument/2006/relationships/hyperlink" Target="https://www.rubrik.com/company/careers/departments/job.8243737?gh_jid=8243737" TargetMode="External" Id="R81f797c21aea44c7" /><Relationship Type="http://schemas.openxmlformats.org/officeDocument/2006/relationships/hyperlink" Target="https://jobs.ashbyhq.com/applied/a561fff8-aa38-4a5d-8b29-66c191f7328e/" TargetMode="External" Id="R47b2ecf9fd674d52" /><Relationship Type="http://schemas.openxmlformats.org/officeDocument/2006/relationships/hyperlink" Target="https://jobs.ashbyhq.com/applied/a561fff8-aa38-4a5d-8b29-66c191f7328e/" TargetMode="External" Id="Rd1a66ecacf0f4062" /><Relationship Type="http://schemas.openxmlformats.org/officeDocument/2006/relationships/hyperlink" Target="https://jobs.ashbyhq.com/1password/49f0fe51-fcdc-46d8-a046-35f357b0cf6e/" TargetMode="External" Id="Rf530d5eb43ff4ddb" /><Relationship Type="http://schemas.openxmlformats.org/officeDocument/2006/relationships/hyperlink" Target="https://jobs.ashbyhq.com/1password/49f0fe51-fcdc-46d8-a046-35f357b0cf6e/" TargetMode="External" Id="R5e16531d5f0c4640" /><Relationship Type="http://schemas.openxmlformats.org/officeDocument/2006/relationships/hyperlink" Target="https://crowdstrike.wd5.myworkdayjobs.com/en-US/crowdstrikecareers/job/Associate-Analyst--Falcon-Complete_R30082" TargetMode="External" Id="R6550092e98ed43ad" /><Relationship Type="http://schemas.openxmlformats.org/officeDocument/2006/relationships/hyperlink" Target="https://crowdstrike.wd5.myworkdayjobs.com/en-US/crowdstrikecareers/job/Associate-Analyst--Falcon-Complete_R30082" TargetMode="External" Id="R19d7a06920ad4e4d" /><Relationship Type="http://schemas.openxmlformats.org/officeDocument/2006/relationships/hyperlink" Target="https://fico.wd1.myworkdayjobs.com/en-US/External/job/Analytic-Compliance--Audit-Analyst-II_32259" TargetMode="External" Id="Raed7c6402674475c" /><Relationship Type="http://schemas.openxmlformats.org/officeDocument/2006/relationships/hyperlink" Target="https://fico.wd1.myworkdayjobs.com/en-US/External/job/Analytic-Compliance--Audit-Analyst-II_32259" TargetMode="External" Id="R0126ca856c764b82" /><Relationship Type="http://schemas.openxmlformats.org/officeDocument/2006/relationships/hyperlink" Target="https://bloomberg.wd1.myworkdayjobs.com/en-US/Bloombergindustrygroup_External_Career_Site/job/Application-Security-Engineer-I_142068-1" TargetMode="External" Id="Rcb5cf26940304fbb" /><Relationship Type="http://schemas.openxmlformats.org/officeDocument/2006/relationships/hyperlink" Target="https://bloomberg.wd1.myworkdayjobs.com/en-US/Bloombergindustrygroup_External_Career_Site/job/Application-Security-Engineer-I_142068-1" TargetMode="External" Id="Rbda7ead1e0e249c0" /><Relationship Type="http://schemas.openxmlformats.org/officeDocument/2006/relationships/hyperlink" Target="https://teamcymru.applytojob.com/apply/i2C3uTjEtS/Threat-Intelligence-Analyst" TargetMode="External" Id="Refcc38bc822c4c11" /><Relationship Type="http://schemas.openxmlformats.org/officeDocument/2006/relationships/hyperlink" Target="https://teamcymru.applytojob.com/apply/i2C3uTjEtS/Threat-Intelligence-Analyst" TargetMode="External" Id="R2749af6e0ec54a0a" /><Relationship Type="http://schemas.openxmlformats.org/officeDocument/2006/relationships/hyperlink" Target="https://recruiting.paylocity.com/recruiting/jobs/Details/4503952/Binary-Defense/Tier-1-SOC-Analyst---REMOTE" TargetMode="External" Id="Ra6c2a12a3a9b41f6" /><Relationship Type="http://schemas.openxmlformats.org/officeDocument/2006/relationships/hyperlink" Target="https://recruiting.paylocity.com/recruiting/jobs/Details/4503952/Binary-Defense/Tier-1-SOC-Analyst---REMOTE" TargetMode="External" Id="R408a630be8c644d3" /><Relationship Type="http://schemas.openxmlformats.org/officeDocument/2006/relationships/hyperlink" Target="https://sailpoint.wd1.myworkdayjobs.com/en-US/SailPoint/job/Associate-Security-Software-Engineer_R013786" TargetMode="External" Id="R070bb4ba861a4d55" /><Relationship Type="http://schemas.openxmlformats.org/officeDocument/2006/relationships/hyperlink" Target="https://sailpoint.wd1.myworkdayjobs.com/en-US/SailPoint/job/Associate-Security-Software-Engineer_R013786" TargetMode="External" Id="R27e846441aaf4f8c" /><Relationship Type="http://schemas.openxmlformats.org/officeDocument/2006/relationships/hyperlink" Target="https://job-boards.greenhouse.io/guidepointsecurity/jobs/6191766004?gh_jid=6191766004" TargetMode="External" Id="Refa63dd6adce4a71" /><Relationship Type="http://schemas.openxmlformats.org/officeDocument/2006/relationships/hyperlink" Target="https://job-boards.greenhouse.io/guidepointsecurity/jobs/6191766004?gh_jid=6191766004" TargetMode="External" Id="R2d89b38cc9f24a23" /><Relationship Type="http://schemas.openxmlformats.org/officeDocument/2006/relationships/hyperlink" Target="https://job-boards.greenhouse.io/idme/jobs/7808011003" TargetMode="External" Id="R55fc94891b1c43cd" /><Relationship Type="http://schemas.openxmlformats.org/officeDocument/2006/relationships/hyperlink" Target="https://job-boards.greenhouse.io/idme/jobs/7808011003" TargetMode="External" Id="R517863078fd54ed1" /><Relationship Type="http://schemas.openxmlformats.org/officeDocument/2006/relationships/hyperlink" Target="https://mastercard.wd1.myworkdayjobs.com/en-US/CorporateCareers/job/Corporate-Security-Operations-Analyst-II_R-292111-1" TargetMode="External" Id="R87e0c930f2004a41" /><Relationship Type="http://schemas.openxmlformats.org/officeDocument/2006/relationships/hyperlink" Target="https://mastercard.wd1.myworkdayjobs.com/en-US/CorporateCareers/job/Corporate-Security-Operations-Analyst-II_R-292111-1" TargetMode="External" Id="Rdadc99336bbf4463" /><Relationship Type="http://schemas.openxmlformats.org/officeDocument/2006/relationships/hyperlink" Target="https://nvidia.wd5.myworkdayjobs.com/en-US/NVIDIAExternalCareerSite/job/US-CA-Santa-Clara/Machine-Learning-Engineer--AI-Safety_JR2021784-1" TargetMode="External" Id="Rb8d90c4c5d4d4fd5" /><Relationship Type="http://schemas.openxmlformats.org/officeDocument/2006/relationships/hyperlink" Target="https://nvidia.wd5.myworkdayjobs.com/en-US/NVIDIAExternalCareerSite/job/US-CA-Santa-Clara/Machine-Learning-Engineer--AI-Safety_JR2021784-1" TargetMode="External" Id="R7eef8d3bd8bf48d9" /><Relationship Type="http://schemas.openxmlformats.org/officeDocument/2006/relationships/hyperlink" Target="https://jobs.ashbyhq.com/Forward Financing/258f44d1-4d17-4f19-b702-0487abdf8dd9" TargetMode="External" Id="Re14852f4b5f949cc" /><Relationship Type="http://schemas.openxmlformats.org/officeDocument/2006/relationships/hyperlink" Target="https://jobs.ashbyhq.com/Forward Financing/258f44d1-4d17-4f19-b702-0487abdf8dd9" TargetMode="External" Id="R93ee54c9c8364849" /><Relationship Type="http://schemas.openxmlformats.org/officeDocument/2006/relationships/hyperlink" Target="https://job-boards.greenhouse.io/corelight/jobs/8287269" TargetMode="External" Id="Rfd0a3d4056274511" /><Relationship Type="http://schemas.openxmlformats.org/officeDocument/2006/relationships/hyperlink" Target="https://job-boards.greenhouse.io/corelight/jobs/8287269" TargetMode="External" Id="R26dcbba4a0844da0" /><Relationship Type="http://schemas.openxmlformats.org/officeDocument/2006/relationships/hyperlink" Target="https://job-boards.greenhouse.io/tines/jobs/6220150004" TargetMode="External" Id="Rdc0ac090e73f4022" /><Relationship Type="http://schemas.openxmlformats.org/officeDocument/2006/relationships/hyperlink" Target="https://job-boards.greenhouse.io/tines/jobs/6220150004" TargetMode="External" Id="R2a375031c5324603" /><Relationship Type="http://schemas.openxmlformats.org/officeDocument/2006/relationships/hyperlink" Target="https://careers.trellix.com/jobs/junior-solutions-engineer/" TargetMode="External" Id="Rfb47aa358f964e2a" /><Relationship Type="http://schemas.openxmlformats.org/officeDocument/2006/relationships/hyperlink" Target="https://careers.trellix.com/jobs/junior-solutions-engineer/" TargetMode="External" Id="R377bf45609f1461e" /><Relationship Type="http://schemas.openxmlformats.org/officeDocument/2006/relationships/hyperlink" Target="https://job-boards.greenhouse.io/verkada/jobs/4135277007" TargetMode="External" Id="Rc2caeb02eb544295" /><Relationship Type="http://schemas.openxmlformats.org/officeDocument/2006/relationships/hyperlink" Target="https://job-boards.greenhouse.io/verkada/jobs/4135277007" TargetMode="External" Id="R528a38bb2d344071" /><Relationship Type="http://schemas.openxmlformats.org/officeDocument/2006/relationships/hyperlink" Target="https://arcticwolf.wd1.myworkdayjobs.com/External/job/Professional-Services-Engineer-1_R26_1068" TargetMode="External" Id="Rc04d6e7bbb4b4abf" /><Relationship Type="http://schemas.openxmlformats.org/officeDocument/2006/relationships/hyperlink" Target="https://arcticwolf.wd1.myworkdayjobs.com/External/job/Professional-Services-Engineer-1_R26_1068" TargetMode="External" Id="Raa84cad2351d4dd0" /><Relationship Type="http://schemas.openxmlformats.org/officeDocument/2006/relationships/hyperlink" Target="https://job-boards.greenhouse.io/extrahopnetworks/jobs/6211107004" TargetMode="External" Id="Rf796a9e50d67452e" /><Relationship Type="http://schemas.openxmlformats.org/officeDocument/2006/relationships/hyperlink" Target="https://job-boards.greenhouse.io/extrahopnetworks/jobs/6211107004" TargetMode="External" Id="Rebfecade0bfc4e57" /><Relationship Type="http://schemas.openxmlformats.org/officeDocument/2006/relationships/hyperlink" Target="https://job-boards.greenhouse.io/extrahopnetworks/jobs/6216038004" TargetMode="External" Id="Rc0f6183a981a42ff" /><Relationship Type="http://schemas.openxmlformats.org/officeDocument/2006/relationships/hyperlink" Target="https://job-boards.greenhouse.io/extrahopnetworks/jobs/6216038004" TargetMode="External" Id="Rf5667ce4a42f450d" /><Relationship Type="http://schemas.openxmlformats.org/officeDocument/2006/relationships/hyperlink" Target="https://job-boards.greenhouse.io/extrahopnetworks/jobs/6215921004" TargetMode="External" Id="Rf6e626a1de4c4c3a" /><Relationship Type="http://schemas.openxmlformats.org/officeDocument/2006/relationships/hyperlink" Target="https://job-boards.greenhouse.io/extrahopnetworks/jobs/6215921004" TargetMode="External" Id="R79dc5ef221f44e11" /><Relationship Type="http://schemas.openxmlformats.org/officeDocument/2006/relationships/hyperlink" Target="https://jobs.ashbyhq.com/trm-labs/0b8546c0-39ba-44db-aba5-3425bcb2e68d/" TargetMode="External" Id="R9a2992b45e704da5" /><Relationship Type="http://schemas.openxmlformats.org/officeDocument/2006/relationships/hyperlink" Target="https://jobs.ashbyhq.com/trm-labs/0b8546c0-39ba-44db-aba5-3425bcb2e68d/" TargetMode="External" Id="R8dd878d626114884" /><Relationship Type="http://schemas.openxmlformats.org/officeDocument/2006/relationships/hyperlink" Target="https://job-boards.greenhouse.io/idme/jobs/8011095003" TargetMode="External" Id="R03012ff32d7e44b2" /><Relationship Type="http://schemas.openxmlformats.org/officeDocument/2006/relationships/hyperlink" Target="https://job-boards.greenhouse.io/idme/jobs/8011095003" TargetMode="External" Id="Rebfdcd1f22544b73" /><Relationship Type="http://schemas.openxmlformats.org/officeDocument/2006/relationships/hyperlink" Target="https://job-boards.greenhouse.io/idme/jobs/8011089003" TargetMode="External" Id="R957ae90cfbf64f87" /><Relationship Type="http://schemas.openxmlformats.org/officeDocument/2006/relationships/hyperlink" Target="https://job-boards.greenhouse.io/idme/jobs/8011089003" TargetMode="External" Id="R85b8262fd6024f95" /><Relationship Type="http://schemas.openxmlformats.org/officeDocument/2006/relationships/hyperlink" Target="https://edel.fa.us2.oraclecloud.com/hcmUI/CandidateExperience/en/sites/CX_2001/job/24668" TargetMode="External" Id="R915df1ea102e4c70" /><Relationship Type="http://schemas.openxmlformats.org/officeDocument/2006/relationships/hyperlink" Target="https://edel.fa.us2.oraclecloud.com/hcmUI/CandidateExperience/en/sites/CX_2001/job/24668" TargetMode="External" Id="Rca02640835d94029" /><Relationship Type="http://schemas.openxmlformats.org/officeDocument/2006/relationships/hyperlink" Target="https://jobs.ashbyhq.com/1password/aac7eea6-ed7c-4871-bbf2-7cb2d5138847" TargetMode="External" Id="Re06cc03dd8d34f64" /><Relationship Type="http://schemas.openxmlformats.org/officeDocument/2006/relationships/hyperlink" Target="https://jobs.ashbyhq.com/1password/aac7eea6-ed7c-4871-bbf2-7cb2d5138847" TargetMode="External" Id="Rf5bc5aa88e7e4d47" /><Relationship Type="http://schemas.openxmlformats.org/officeDocument/2006/relationships/hyperlink" Target="https://jobs.ashbyhq.com/1password/8af1359a-c8a2-492b-b567-ae8ae184a8a1" TargetMode="External" Id="R1903590f593343a4" /><Relationship Type="http://schemas.openxmlformats.org/officeDocument/2006/relationships/hyperlink" Target="https://jobs.ashbyhq.com/1password/8af1359a-c8a2-492b-b567-ae8ae184a8a1" TargetMode="External" Id="R2395f1d38a1f4de1" /><Relationship Type="http://schemas.openxmlformats.org/officeDocument/2006/relationships/hyperlink" Target="https://jobs.ashbyhq.com/1password/6a6869a7-98d2-43e3-b9b5-b68fa4daeb9f" TargetMode="External" Id="R85413c2b3dc8453d" /><Relationship Type="http://schemas.openxmlformats.org/officeDocument/2006/relationships/hyperlink" Target="https://jobs.ashbyhq.com/1password/6a6869a7-98d2-43e3-b9b5-b68fa4daeb9f" TargetMode="External" Id="R3630ccfe16eb491f" /><Relationship Type="http://schemas.openxmlformats.org/officeDocument/2006/relationships/hyperlink" Target="https://ciena.wd5.myworkdayjobs.com/careers/job/Atlanta/Software-Engineer--Security----Intern--Winter-2027-_R031926" TargetMode="External" Id="Rb6304b0660c843b7" /><Relationship Type="http://schemas.openxmlformats.org/officeDocument/2006/relationships/hyperlink" Target="https://ciena.wd5.myworkdayjobs.com/careers/job/Atlanta/Software-Engineer--Security----Intern--Winter-2027-_R031926" TargetMode="External" Id="R615c1b6fdd464c08" /><Relationship Type="http://schemas.openxmlformats.org/officeDocument/2006/relationships/hyperlink" Target="https://careers.gtri.gatech.edu/jobs/general-cybersecurity-graduate-intern-cipher-spring-2027-atlanta-georgia-united-states" TargetMode="External" Id="R79d6c150a5ee494c" /><Relationship Type="http://schemas.openxmlformats.org/officeDocument/2006/relationships/hyperlink" Target="https://careers.gtri.gatech.edu/jobs/general-cybersecurity-graduate-intern-cipher-spring-2027-atlanta-georgia-united-states" TargetMode="External" Id="Rc6dbbac7fe8e4c1c" /><Relationship Type="http://schemas.openxmlformats.org/officeDocument/2006/relationships/hyperlink" Target="https://jobs.lever.co/certik/148afcf8-106b-42fa-a516-6bb8f1184e33" TargetMode="External" Id="R0abcaad56355489c" /><Relationship Type="http://schemas.openxmlformats.org/officeDocument/2006/relationships/hyperlink" Target="https://jobs.lever.co/certik/148afcf8-106b-42fa-a516-6bb8f1184e33" TargetMode="External" Id="Rc86fe76a85d94564" /><Relationship Type="http://schemas.openxmlformats.org/officeDocument/2006/relationships/hyperlink" Target="https://jobs.ashbyhq.com/illumio/8708e622-900e-458a-96b3-ae339329a56d" TargetMode="External" Id="Rb3a5b6f3859a4169" /><Relationship Type="http://schemas.openxmlformats.org/officeDocument/2006/relationships/hyperlink" Target="https://jobs.ashbyhq.com/illumio/8708e622-900e-458a-96b3-ae339329a56d" TargetMode="External" Id="R6d24823cd17141ac" /><Relationship Type="http://schemas.openxmlformats.org/officeDocument/2006/relationships/hyperlink" Target="https://careers.snowflake.com/us/en/job/7139a002-dbe3-4693-8cbc-5b780db1d29d/Incident-Response-Engineer" TargetMode="External" Id="R0cd737c319324960" /><Relationship Type="http://schemas.openxmlformats.org/officeDocument/2006/relationships/hyperlink" Target="https://careers.snowflake.com/us/en/job/7139a002-dbe3-4693-8cbc-5b780db1d29d/Incident-Response-Engineer" TargetMode="External" Id="Rae396d204b1e4054" /><Relationship Type="http://schemas.openxmlformats.org/officeDocument/2006/relationships/hyperlink" Target="https://www.google.com/about/careers/applications/jobs/results/87068925161808582-cyber-defense-detection-engineer-mandiant-google-cloud" TargetMode="External" Id="Ra506ca4ea77f4097" /><Relationship Type="http://schemas.openxmlformats.org/officeDocument/2006/relationships/hyperlink" Target="https://www.google.com/about/careers/applications/jobs/results/87068925161808582-cyber-defense-detection-engineer-mandiant-google-cloud" TargetMode="External" Id="R6606fe315f904337" /><Relationship Type="http://schemas.openxmlformats.org/officeDocument/2006/relationships/hyperlink" Target="https://www.google.com/about/careers/applications/jobs/results/125813288268112582-security-engineer-ii-core-enterprise-access-security-engineering" TargetMode="External" Id="R7fe8ec638b5d41ed" /><Relationship Type="http://schemas.openxmlformats.org/officeDocument/2006/relationships/hyperlink" Target="https://www.google.com/about/careers/applications/jobs/results/125813288268112582-security-engineer-ii-core-enterprise-access-security-engineering" TargetMode="External" Id="R89e4e8cc1f2d4105" /><Relationship Type="http://schemas.openxmlformats.org/officeDocument/2006/relationships/hyperlink" Target="https://www.google.com/about/careers/applications/jobs/results/136535844847526598-security-engineer-iii-cloud-security-controls" TargetMode="External" Id="Rcfdf5cef95df4345" /><Relationship Type="http://schemas.openxmlformats.org/officeDocument/2006/relationships/hyperlink" Target="https://www.google.com/about/careers/applications/jobs/results/136535844847526598-security-engineer-iii-cloud-security-controls" TargetMode="External" Id="Ra6e87408d5f0445e" /><Relationship Type="http://schemas.openxmlformats.org/officeDocument/2006/relationships/hyperlink" Target="https://travelers.wd5.myworkdayjobs.com/External/job/CT---Hartford/Cybersecurity-Ops-Technologist---Splunk-SIEM-Engineer_R-51597" TargetMode="External" Id="R5a9cf868254d4b07" /><Relationship Type="http://schemas.openxmlformats.org/officeDocument/2006/relationships/hyperlink" Target="https://travelers.wd5.myworkdayjobs.com/External/job/CT---Hartford/Cybersecurity-Ops-Technologist---Splunk-SIEM-Engineer_R-51597" TargetMode="External" Id="R365cdf4533d34997" /><Relationship Type="http://schemas.openxmlformats.org/officeDocument/2006/relationships/hyperlink" Target="https://job-boards.greenhouse.io/axon/jobs/8033215003" TargetMode="External" Id="Rab0cdac841144484" /><Relationship Type="http://schemas.openxmlformats.org/officeDocument/2006/relationships/hyperlink" Target="https://job-boards.greenhouse.io/axon/jobs/8033215003" TargetMode="External" Id="R140d632b7fa241b6" /><Relationship Type="http://schemas.openxmlformats.org/officeDocument/2006/relationships/hyperlink" Target="https://www.amazon.jobs/en/jobs/10568241/application-security-engineer" TargetMode="External" Id="R6b1a1187fdfb4fa1" /><Relationship Type="http://schemas.openxmlformats.org/officeDocument/2006/relationships/hyperlink" Target="https://www.amazon.jobs/en/jobs/10568241/application-security-engineer" TargetMode="External" Id="R71c79db7f80a45f0" /><Relationship Type="http://schemas.openxmlformats.org/officeDocument/2006/relationships/hyperlink" Target="https://www.amazon.jobs/en/jobs/10568241/application-security-engineer" TargetMode="External" Id="R347f4b669e9042d5" /><Relationship Type="http://schemas.openxmlformats.org/officeDocument/2006/relationships/hyperlink" Target="https://www.amazon.jobs/en/jobs/10568241/application-security-engineer" TargetMode="External" Id="Rea20f82add2b448e" /><Relationship Type="http://schemas.openxmlformats.org/officeDocument/2006/relationships/hyperlink" Target="https://www.amazon.jobs/en/jobs/10565796/security-engineer-ii-cls-application-security" TargetMode="External" Id="Rd3bb3a9682934ac2" /><Relationship Type="http://schemas.openxmlformats.org/officeDocument/2006/relationships/hyperlink" Target="https://www.amazon.jobs/en/jobs/10565796/security-engineer-ii-cls-application-security" TargetMode="External" Id="R11a977cb145e4881" /><Relationship Type="http://schemas.openxmlformats.org/officeDocument/2006/relationships/hyperlink" Target="https://www.amazon.jobs/en/jobs/10559507/application-security-engineer-aws-proactive-security" TargetMode="External" Id="R2b3346475b6942ca" /><Relationship Type="http://schemas.openxmlformats.org/officeDocument/2006/relationships/hyperlink" Target="https://www.amazon.jobs/en/jobs/10559507/application-security-engineer-aws-proactive-security" TargetMode="External" Id="Rf40dd7c4c7954187" /><Relationship Type="http://schemas.openxmlformats.org/officeDocument/2006/relationships/hyperlink" Target="https://amazon.jobs/en/jobs/10537429/security-engineer-ii-amazon-guardduty" TargetMode="External" Id="R048479f32a1d4938" /><Relationship Type="http://schemas.openxmlformats.org/officeDocument/2006/relationships/hyperlink" Target="https://amazon.jobs/en/jobs/10537429/security-engineer-ii-amazon-guardduty" TargetMode="External" Id="R16ef085308f146b0" /><Relationship Type="http://schemas.openxmlformats.org/officeDocument/2006/relationships/hyperlink" Target="https://www.amazon.jobs/en/jobs/10445980/sec-engineer-ii-amz006250" TargetMode="External" Id="R607a228e810f4790" /><Relationship Type="http://schemas.openxmlformats.org/officeDocument/2006/relationships/hyperlink" Target="https://www.amazon.jobs/en/jobs/10445980/sec-engineer-ii-amz006250" TargetMode="External" Id="R2f8a98f18106470d" /><Relationship Type="http://schemas.openxmlformats.org/officeDocument/2006/relationships/hyperlink" Target="https://www.amazon.jobs/en/jobs/10471418/security-engineer-ii-security-incident-response-team-sirt" TargetMode="External" Id="R185c12de2a194e79" /><Relationship Type="http://schemas.openxmlformats.org/officeDocument/2006/relationships/hyperlink" Target="https://www.amazon.jobs/en/jobs/10471418/security-engineer-ii-security-incident-response-team-sirt" TargetMode="External" Id="Rdab21de734d148ae" /><Relationship Type="http://schemas.openxmlformats.org/officeDocument/2006/relationships/hyperlink" Target="https://www.amazon.jobs/en/jobs/10464931/security-engineer-ii-amz27587-1" TargetMode="External" Id="R1d23788c109649b0" /><Relationship Type="http://schemas.openxmlformats.org/officeDocument/2006/relationships/hyperlink" Target="https://www.amazon.jobs/en/jobs/10464931/security-engineer-ii-amz27587-1" TargetMode="External" Id="R7a31e1c268bd440f" /><Relationship Type="http://schemas.openxmlformats.org/officeDocument/2006/relationships/hyperlink" Target="https://amazon.jobs/en/jobs/10516573/security-engineer-ii-customer-logistics-security" TargetMode="External" Id="Reeb4038726d342a7" /><Relationship Type="http://schemas.openxmlformats.org/officeDocument/2006/relationships/hyperlink" Target="https://amazon.jobs/en/jobs/10516573/security-engineer-ii-customer-logistics-security" TargetMode="External" Id="R8c6bc953cf264f3a" /><Relationship Type="http://schemas.openxmlformats.org/officeDocument/2006/relationships/hyperlink" Target="https://amazon.jobs/en/jobs/10475581/security-engineer-ii-devices-and-services-security" TargetMode="External" Id="R5e44a87faeda4e25" /><Relationship Type="http://schemas.openxmlformats.org/officeDocument/2006/relationships/hyperlink" Target="https://amazon.jobs/en/jobs/10475581/security-engineer-ii-devices-and-services-security" TargetMode="External" Id="R60af49bc4d064373" /><Relationship Type="http://schemas.openxmlformats.org/officeDocument/2006/relationships/hyperlink" Target="https://job-boards.greenhouse.io/doordashusa/jobs/8237701-2" TargetMode="External" Id="Rd7f17056888b4f35" /><Relationship Type="http://schemas.openxmlformats.org/officeDocument/2006/relationships/hyperlink" Target="https://job-boards.greenhouse.io/doordashusa/jobs/8237701-2" TargetMode="External" Id="R699c2e9ea38f4e38" /><Relationship Type="http://schemas.openxmlformats.org/officeDocument/2006/relationships/hyperlink" Target="https://higher.gs.com/roles/152314" TargetMode="External" Id="R863d5aa6d4394133" /><Relationship Type="http://schemas.openxmlformats.org/officeDocument/2006/relationships/hyperlink" Target="https://higher.gs.com/roles/152314" TargetMode="External" Id="Rc46f89f6f7564b34" /><Relationship Type="http://schemas.openxmlformats.org/officeDocument/2006/relationships/hyperlink" Target="https://job-boards.greenhouse.io/tenableinc/jobs/5418662008" TargetMode="External" Id="Rbf87587b925d46ea" /><Relationship Type="http://schemas.openxmlformats.org/officeDocument/2006/relationships/hyperlink" Target="https://job-boards.greenhouse.io/tenableinc/jobs/5418662008" TargetMode="External" Id="Reecdcf3b0f6b4eb5" /><Relationship Type="http://schemas.openxmlformats.org/officeDocument/2006/relationships/hyperlink" Target="https://careers.homedepot.com/job/23715993/cybersecurity-engineer-ii-siem-and-edr-remote-remote/" TargetMode="External" Id="R9f943be6b4f84b2d" /><Relationship Type="http://schemas.openxmlformats.org/officeDocument/2006/relationships/hyperlink" Target="https://careers.homedepot.com/job/23715993/cybersecurity-engineer-ii-siem-and-edr-remote-remote/" TargetMode="External" Id="Rb82fe17ad9454984" /><Relationship Type="http://schemas.openxmlformats.org/officeDocument/2006/relationships/hyperlink" Target="https://jobs.ashbyhq.com/delinea/53162fb2-a693-4226-8e17-48ad2cf7c13e" TargetMode="External" Id="Rfcd2a958dbf1427b" /><Relationship Type="http://schemas.openxmlformats.org/officeDocument/2006/relationships/hyperlink" Target="https://jobs.ashbyhq.com/delinea/53162fb2-a693-4226-8e17-48ad2cf7c13e" TargetMode="External" Id="R0151ea2f8a68431c" /><Relationship Type="http://schemas.openxmlformats.org/officeDocument/2006/relationships/hyperlink" Target="https://jobs.ashbyhq.com/applied/8918fc69-d10d-44c0-a02c-a4a37175b735" TargetMode="External" Id="R0eb5c54bcb54476d" /><Relationship Type="http://schemas.openxmlformats.org/officeDocument/2006/relationships/hyperlink" Target="https://jobs.ashbyhq.com/applied/8918fc69-d10d-44c0-a02c-a4a37175b735" TargetMode="External" Id="R6ad3a0346b024706" /><Relationship Type="http://schemas.openxmlformats.org/officeDocument/2006/relationships/hyperlink" Target="https://jobs.ashbyhq.com/tenex/ff2e354d-ff2e-41e5-b3ad-56ed8d567387" TargetMode="External" Id="R2f11b0a900be4364" /><Relationship Type="http://schemas.openxmlformats.org/officeDocument/2006/relationships/hyperlink" Target="https://jobs.ashbyhq.com/tenex/ff2e354d-ff2e-41e5-b3ad-56ed8d567387" TargetMode="External" Id="Rf3ac6248809847cb" /><Relationship Type="http://schemas.openxmlformats.org/officeDocument/2006/relationships/hyperlink" Target="https://jobs.ashbyhq.com/supabase/13478d3f-0093-458f-9f84-af71e66db03f" TargetMode="External" Id="R59811527d4e24209" /><Relationship Type="http://schemas.openxmlformats.org/officeDocument/2006/relationships/hyperlink" Target="https://jobs.ashbyhq.com/supabase/13478d3f-0093-458f-9f84-af71e66db03f" TargetMode="External" Id="Rde63dc37c3f34431" /><Relationship Type="http://schemas.openxmlformats.org/officeDocument/2006/relationships/hyperlink" Target="https://jobs.ashbyhq.com/aegis-ai/2974c314-3a13-4db6-84a6-8ba78a2e962b" TargetMode="External" Id="Rb2dd206fecab4b6a" /><Relationship Type="http://schemas.openxmlformats.org/officeDocument/2006/relationships/hyperlink" Target="https://jobs.ashbyhq.com/aegis-ai/2974c314-3a13-4db6-84a6-8ba78a2e962b" TargetMode="External" Id="Rb92d23a02dec4390" /><Relationship Type="http://schemas.openxmlformats.org/officeDocument/2006/relationships/hyperlink" Target="https://job-boards.greenhouse.io/atbayjobs/jobs/5657977003" TargetMode="External" Id="Reab56d00db594e4c" /><Relationship Type="http://schemas.openxmlformats.org/officeDocument/2006/relationships/hyperlink" Target="https://job-boards.greenhouse.io/atbayjobs/jobs/5657977003" TargetMode="External" Id="R691638291a954f93" /><Relationship Type="http://schemas.openxmlformats.org/officeDocument/2006/relationships/hyperlink" Target="https://job-boards.greenhouse.io/appian/jobs/8312417" TargetMode="External" Id="Re5e17051c23543dc" /><Relationship Type="http://schemas.openxmlformats.org/officeDocument/2006/relationships/hyperlink" Target="https://job-boards.greenhouse.io/appian/jobs/8312417" TargetMode="External" Id="R4edd57915eab44af" /><Relationship Type="http://schemas.openxmlformats.org/officeDocument/2006/relationships/hyperlink" Target="https://job-boards.greenhouse.io/guidepointsecurity/jobs/6225726004?gh_jid=6225726004" TargetMode="External" Id="R57c94d3c09b8451a" /><Relationship Type="http://schemas.openxmlformats.org/officeDocument/2006/relationships/hyperlink" Target="https://job-boards.greenhouse.io/guidepointsecurity/jobs/6225726004?gh_jid=6225726004" TargetMode="External" Id="R0b8cb5882d324317" /><Relationship Type="http://schemas.openxmlformats.org/officeDocument/2006/relationships/hyperlink" Target="https://job-boards.greenhouse.io/twitch/jobs/8812415002" TargetMode="External" Id="R558132c4412d42ba" /><Relationship Type="http://schemas.openxmlformats.org/officeDocument/2006/relationships/hyperlink" Target="https://job-boards.greenhouse.io/twitch/jobs/8812415002" TargetMode="External" Id="R0136bda394a24d34" /><Relationship Type="http://schemas.openxmlformats.org/officeDocument/2006/relationships/hyperlink" Target="https://job-boards.greenhouse.io/geotab/jobs/5230323008" TargetMode="External" Id="R2c07c4493dc5407f" /><Relationship Type="http://schemas.openxmlformats.org/officeDocument/2006/relationships/hyperlink" Target="https://job-boards.greenhouse.io/geotab/jobs/5230323008" TargetMode="External" Id="Rf2f69b54613f4921" /><Relationship Type="http://schemas.openxmlformats.org/officeDocument/2006/relationships/hyperlink" Target="https://jobs.ashbyhq.com/chainalysis-careers/da0b9540-9071-4c80-a1ee-a76d46d19c98" TargetMode="External" Id="Red410fd2698b42a4" /><Relationship Type="http://schemas.openxmlformats.org/officeDocument/2006/relationships/hyperlink" Target="https://jobs.ashbyhq.com/chainalysis-careers/da0b9540-9071-4c80-a1ee-a76d46d19c98" TargetMode="External" Id="R8ce0f3c40e3b452d" /><Relationship Type="http://schemas.openxmlformats.org/officeDocument/2006/relationships/hyperlink" Target="https://job-boards.greenhouse.io/anthropic/jobs/4982193008" TargetMode="External" Id="R07f1d31486124879" /><Relationship Type="http://schemas.openxmlformats.org/officeDocument/2006/relationships/hyperlink" Target="https://job-boards.greenhouse.io/anthropic/jobs/4982193008" TargetMode="External" Id="R012febda0a5e450a" /><Relationship Type="http://schemas.openxmlformats.org/officeDocument/2006/relationships/table" Target="/xl/tables/table2.xml" Id="R0a9889960476442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hyperlink" Target="https://job-boards.greenhouse.io/togetherai/jobs/5238471007" TargetMode="External" Id="R2b009a9d2b164280" /><Relationship Type="http://schemas.openxmlformats.org/officeDocument/2006/relationships/hyperlink" Target="https://job-boards.greenhouse.io/togetherai/jobs/5238471007" TargetMode="External" Id="Re77b9bca2cb54afd" /><Relationship Type="http://schemas.openxmlformats.org/officeDocument/2006/relationships/hyperlink" Target="https://jobs.ashbyhq.com/1password/49f0fe51-fcdc-46d8-a046-35f357b0cf6e/" TargetMode="External" Id="Rbbfb59757e5a41ce" /><Relationship Type="http://schemas.openxmlformats.org/officeDocument/2006/relationships/hyperlink" Target="https://jobs.ashbyhq.com/1password/49f0fe51-fcdc-46d8-a046-35f357b0cf6e/" TargetMode="External" Id="R6971c18a7b214986" /><Relationship Type="http://schemas.openxmlformats.org/officeDocument/2006/relationships/hyperlink" Target="https://crowdstrike.wd5.myworkdayjobs.com/en-US/crowdstrikecareers/job/Associate-Analyst--Falcon-Complete_R30082" TargetMode="External" Id="Rd62ec6ac282a45b5" /><Relationship Type="http://schemas.openxmlformats.org/officeDocument/2006/relationships/hyperlink" Target="https://crowdstrike.wd5.myworkdayjobs.com/en-US/crowdstrikecareers/job/Associate-Analyst--Falcon-Complete_R30082" TargetMode="External" Id="R39a04e9184314c64" /><Relationship Type="http://schemas.openxmlformats.org/officeDocument/2006/relationships/hyperlink" Target="https://bloomberg.wd1.myworkdayjobs.com/en-US/Bloombergindustrygroup_External_Career_Site/job/Application-Security-Engineer-I_142068-1" TargetMode="External" Id="R93ff55bd26bf409f" /><Relationship Type="http://schemas.openxmlformats.org/officeDocument/2006/relationships/hyperlink" Target="https://bloomberg.wd1.myworkdayjobs.com/en-US/Bloombergindustrygroup_External_Career_Site/job/Application-Security-Engineer-I_142068-1" TargetMode="External" Id="R99f1c7d73a524361" /><Relationship Type="http://schemas.openxmlformats.org/officeDocument/2006/relationships/hyperlink" Target="https://teamcymru.applytojob.com/apply/i2C3uTjEtS/Threat-Intelligence-Analyst" TargetMode="External" Id="R01eca86c81a34abc" /><Relationship Type="http://schemas.openxmlformats.org/officeDocument/2006/relationships/hyperlink" Target="https://teamcymru.applytojob.com/apply/i2C3uTjEtS/Threat-Intelligence-Analyst" TargetMode="External" Id="R676d7f327f9a4a2d" /><Relationship Type="http://schemas.openxmlformats.org/officeDocument/2006/relationships/hyperlink" Target="https://recruiting.paylocity.com/recruiting/jobs/Details/4503952/Binary-Defense/Tier-1-SOC-Analyst---REMOTE" TargetMode="External" Id="Rb4d7d30ca2b846d5" /><Relationship Type="http://schemas.openxmlformats.org/officeDocument/2006/relationships/hyperlink" Target="https://recruiting.paylocity.com/recruiting/jobs/Details/4503952/Binary-Defense/Tier-1-SOC-Analyst---REMOTE" TargetMode="External" Id="R58442b42e637403e" /><Relationship Type="http://schemas.openxmlformats.org/officeDocument/2006/relationships/hyperlink" Target="https://sailpoint.wd1.myworkdayjobs.com/en-US/SailPoint/job/Associate-Security-Software-Engineer_R013786" TargetMode="External" Id="R05c5a7e39f9d40c5" /><Relationship Type="http://schemas.openxmlformats.org/officeDocument/2006/relationships/hyperlink" Target="https://sailpoint.wd1.myworkdayjobs.com/en-US/SailPoint/job/Associate-Security-Software-Engineer_R013786" TargetMode="External" Id="Rfcd6b4be464f44be" /><Relationship Type="http://schemas.openxmlformats.org/officeDocument/2006/relationships/hyperlink" Target="https://job-boards.greenhouse.io/guidepointsecurity/jobs/6191766004?gh_jid=6191766004" TargetMode="External" Id="R4c8fda15561b4883" /><Relationship Type="http://schemas.openxmlformats.org/officeDocument/2006/relationships/hyperlink" Target="https://job-boards.greenhouse.io/guidepointsecurity/jobs/6191766004?gh_jid=6191766004" TargetMode="External" Id="R6eac45a6a6454141" /><Relationship Type="http://schemas.openxmlformats.org/officeDocument/2006/relationships/hyperlink" Target="https://job-boards.greenhouse.io/idme/jobs/7808011003" TargetMode="External" Id="Rdb53dbc69f1c4ec2" /><Relationship Type="http://schemas.openxmlformats.org/officeDocument/2006/relationships/hyperlink" Target="https://job-boards.greenhouse.io/idme/jobs/7808011003" TargetMode="External" Id="Rf168ad3c089740f8" /><Relationship Type="http://schemas.openxmlformats.org/officeDocument/2006/relationships/hyperlink" Target="https://mastercard.wd1.myworkdayjobs.com/en-US/CorporateCareers/job/Corporate-Security-Operations-Analyst-II_R-292111-1" TargetMode="External" Id="R97a4b56ea7c4449f" /><Relationship Type="http://schemas.openxmlformats.org/officeDocument/2006/relationships/hyperlink" Target="https://mastercard.wd1.myworkdayjobs.com/en-US/CorporateCareers/job/Corporate-Security-Operations-Analyst-II_R-292111-1" TargetMode="External" Id="Rd46efc46f41047bc" /><Relationship Type="http://schemas.openxmlformats.org/officeDocument/2006/relationships/hyperlink" Target="https://jobs.ashbyhq.com/Forward Financing/258f44d1-4d17-4f19-b702-0487abdf8dd9" TargetMode="External" Id="R304b3c4818f04e40" /><Relationship Type="http://schemas.openxmlformats.org/officeDocument/2006/relationships/hyperlink" Target="https://jobs.ashbyhq.com/Forward Financing/258f44d1-4d17-4f19-b702-0487abdf8dd9" TargetMode="External" Id="R3c5dcbfbca694b84" /><Relationship Type="http://schemas.openxmlformats.org/officeDocument/2006/relationships/hyperlink" Target="https://job-boards.greenhouse.io/corelight/jobs/8287269" TargetMode="External" Id="R2d5fbcbae2f24328" /><Relationship Type="http://schemas.openxmlformats.org/officeDocument/2006/relationships/hyperlink" Target="https://job-boards.greenhouse.io/corelight/jobs/8287269" TargetMode="External" Id="Rc7f3bfa85a634545" /><Relationship Type="http://schemas.openxmlformats.org/officeDocument/2006/relationships/hyperlink" Target="https://job-boards.greenhouse.io/verkada/jobs/4135277007" TargetMode="External" Id="R4ce05b258c6c47c0" /><Relationship Type="http://schemas.openxmlformats.org/officeDocument/2006/relationships/hyperlink" Target="https://job-boards.greenhouse.io/verkada/jobs/4135277007" TargetMode="External" Id="R6c9ab74fa54e4d9c" /><Relationship Type="http://schemas.openxmlformats.org/officeDocument/2006/relationships/hyperlink" Target="https://job-boards.greenhouse.io/extrahopnetworks/jobs/6211107004" TargetMode="External" Id="R0a1ff8a416674aae" /><Relationship Type="http://schemas.openxmlformats.org/officeDocument/2006/relationships/hyperlink" Target="https://job-boards.greenhouse.io/extrahopnetworks/jobs/6211107004" TargetMode="External" Id="Rf18b6ced484d4dc3" /><Relationship Type="http://schemas.openxmlformats.org/officeDocument/2006/relationships/hyperlink" Target="https://job-boards.greenhouse.io/extrahopnetworks/jobs/6216038004" TargetMode="External" Id="R1ba5baaef26c4b5e" /><Relationship Type="http://schemas.openxmlformats.org/officeDocument/2006/relationships/hyperlink" Target="https://job-boards.greenhouse.io/extrahopnetworks/jobs/6216038004" TargetMode="External" Id="Rfd58f318ed5944c8" /><Relationship Type="http://schemas.openxmlformats.org/officeDocument/2006/relationships/hyperlink" Target="https://job-boards.greenhouse.io/extrahopnetworks/jobs/6215921004" TargetMode="External" Id="R98e069b1361048c7" /><Relationship Type="http://schemas.openxmlformats.org/officeDocument/2006/relationships/hyperlink" Target="https://job-boards.greenhouse.io/extrahopnetworks/jobs/6215921004" TargetMode="External" Id="Red71a9b5fe4c4c27" /><Relationship Type="http://schemas.openxmlformats.org/officeDocument/2006/relationships/hyperlink" Target="https://job-boards.greenhouse.io/idme/jobs/8011095003" TargetMode="External" Id="R49eb0f89e7e24959" /><Relationship Type="http://schemas.openxmlformats.org/officeDocument/2006/relationships/hyperlink" Target="https://job-boards.greenhouse.io/idme/jobs/8011095003" TargetMode="External" Id="Rd669b173c16e4d16" /><Relationship Type="http://schemas.openxmlformats.org/officeDocument/2006/relationships/hyperlink" Target="https://job-boards.greenhouse.io/idme/jobs/8011089003" TargetMode="External" Id="Rd81958b0e31e4306" /><Relationship Type="http://schemas.openxmlformats.org/officeDocument/2006/relationships/hyperlink" Target="https://job-boards.greenhouse.io/idme/jobs/8011089003" TargetMode="External" Id="R7b469128c233495c" /><Relationship Type="http://schemas.openxmlformats.org/officeDocument/2006/relationships/hyperlink" Target="https://careers.snowflake.com/us/en/job/7139a002-dbe3-4693-8cbc-5b780db1d29d/Incident-Response-Engineer" TargetMode="External" Id="Rbd408f89d0164535" /><Relationship Type="http://schemas.openxmlformats.org/officeDocument/2006/relationships/hyperlink" Target="https://careers.snowflake.com/us/en/job/7139a002-dbe3-4693-8cbc-5b780db1d29d/Incident-Response-Engineer" TargetMode="External" Id="R069334cb54b5492d" /><Relationship Type="http://schemas.openxmlformats.org/officeDocument/2006/relationships/hyperlink" Target="https://www.google.com/about/careers/applications/jobs/results/87068925161808582-cyber-defense-detection-engineer-mandiant-google-cloud" TargetMode="External" Id="Re0bc83c002b34bda" /><Relationship Type="http://schemas.openxmlformats.org/officeDocument/2006/relationships/hyperlink" Target="https://www.google.com/about/careers/applications/jobs/results/87068925161808582-cyber-defense-detection-engineer-mandiant-google-cloud" TargetMode="External" Id="Rff6c619329a54680" /><Relationship Type="http://schemas.openxmlformats.org/officeDocument/2006/relationships/hyperlink" Target="https://www.google.com/about/careers/applications/jobs/results/125813288268112582-security-engineer-ii-core-enterprise-access-security-engineering" TargetMode="External" Id="R475ea79ff5914bf1" /><Relationship Type="http://schemas.openxmlformats.org/officeDocument/2006/relationships/hyperlink" Target="https://www.google.com/about/careers/applications/jobs/results/125813288268112582-security-engineer-ii-core-enterprise-access-security-engineering" TargetMode="External" Id="Re926cedd4ed849e0" /><Relationship Type="http://schemas.openxmlformats.org/officeDocument/2006/relationships/hyperlink" Target="https://www.google.com/about/careers/applications/jobs/results/136535844847526598-security-engineer-iii-cloud-security-controls" TargetMode="External" Id="R7d87c542cab64a70" /><Relationship Type="http://schemas.openxmlformats.org/officeDocument/2006/relationships/hyperlink" Target="https://www.google.com/about/careers/applications/jobs/results/136535844847526598-security-engineer-iii-cloud-security-controls" TargetMode="External" Id="Rf981e1d14ac14bec" /><Relationship Type="http://schemas.openxmlformats.org/officeDocument/2006/relationships/hyperlink" Target="https://travelers.wd5.myworkdayjobs.com/External/job/CT---Hartford/Cybersecurity-Ops-Technologist---Splunk-SIEM-Engineer_R-51597" TargetMode="External" Id="R4e20822b95fb4828" /><Relationship Type="http://schemas.openxmlformats.org/officeDocument/2006/relationships/hyperlink" Target="https://travelers.wd5.myworkdayjobs.com/External/job/CT---Hartford/Cybersecurity-Ops-Technologist---Splunk-SIEM-Engineer_R-51597" TargetMode="External" Id="Rbf2a11debf8f4c73" /><Relationship Type="http://schemas.openxmlformats.org/officeDocument/2006/relationships/hyperlink" Target="https://www.amazon.jobs/en/jobs/10568241/application-security-engineer" TargetMode="External" Id="Rf7e956111206484e" /><Relationship Type="http://schemas.openxmlformats.org/officeDocument/2006/relationships/hyperlink" Target="https://www.amazon.jobs/en/jobs/10568241/application-security-engineer" TargetMode="External" Id="Rfeb867ac71c2448f" /><Relationship Type="http://schemas.openxmlformats.org/officeDocument/2006/relationships/hyperlink" Target="https://www.amazon.jobs/en/jobs/10568241/application-security-engineer" TargetMode="External" Id="R5be796192a794c24" /><Relationship Type="http://schemas.openxmlformats.org/officeDocument/2006/relationships/hyperlink" Target="https://www.amazon.jobs/en/jobs/10568241/application-security-engineer" TargetMode="External" Id="R8f78fda8756542d4" /><Relationship Type="http://schemas.openxmlformats.org/officeDocument/2006/relationships/hyperlink" Target="https://www.amazon.jobs/en/jobs/10565796/security-engineer-ii-cls-application-security" TargetMode="External" Id="R8755e729230b4859" /><Relationship Type="http://schemas.openxmlformats.org/officeDocument/2006/relationships/hyperlink" Target="https://www.amazon.jobs/en/jobs/10565796/security-engineer-ii-cls-application-security" TargetMode="External" Id="R6cb3beebed0c4bdd" /><Relationship Type="http://schemas.openxmlformats.org/officeDocument/2006/relationships/hyperlink" Target="https://amazon.jobs/en/jobs/10537429/security-engineer-ii-amazon-guardduty" TargetMode="External" Id="R7bc23b78b4054f77" /><Relationship Type="http://schemas.openxmlformats.org/officeDocument/2006/relationships/hyperlink" Target="https://amazon.jobs/en/jobs/10537429/security-engineer-ii-amazon-guardduty" TargetMode="External" Id="R83dc1273cd0b4f22" /><Relationship Type="http://schemas.openxmlformats.org/officeDocument/2006/relationships/hyperlink" Target="https://www.amazon.jobs/en/jobs/10445980/sec-engineer-ii-amz006250" TargetMode="External" Id="R1e3a10db10be4f89" /><Relationship Type="http://schemas.openxmlformats.org/officeDocument/2006/relationships/hyperlink" Target="https://www.amazon.jobs/en/jobs/10445980/sec-engineer-ii-amz006250" TargetMode="External" Id="Rdb9da7e1388e4b3f" /><Relationship Type="http://schemas.openxmlformats.org/officeDocument/2006/relationships/hyperlink" Target="https://www.amazon.jobs/en/jobs/10471418/security-engineer-ii-security-incident-response-team-sirt" TargetMode="External" Id="R1d78b4f9595a4b37" /><Relationship Type="http://schemas.openxmlformats.org/officeDocument/2006/relationships/hyperlink" Target="https://www.amazon.jobs/en/jobs/10471418/security-engineer-ii-security-incident-response-team-sirt" TargetMode="External" Id="R67c5cc12ea274082" /><Relationship Type="http://schemas.openxmlformats.org/officeDocument/2006/relationships/hyperlink" Target="https://www.amazon.jobs/en/jobs/10464931/security-engineer-ii-amz27587-1" TargetMode="External" Id="R35dade7b4e5c4ea8" /><Relationship Type="http://schemas.openxmlformats.org/officeDocument/2006/relationships/hyperlink" Target="https://www.amazon.jobs/en/jobs/10464931/security-engineer-ii-amz27587-1" TargetMode="External" Id="R742082f421514d29" /><Relationship Type="http://schemas.openxmlformats.org/officeDocument/2006/relationships/hyperlink" Target="https://amazon.jobs/en/jobs/10516573/security-engineer-ii-customer-logistics-security" TargetMode="External" Id="R84e2274091ec40e2" /><Relationship Type="http://schemas.openxmlformats.org/officeDocument/2006/relationships/hyperlink" Target="https://amazon.jobs/en/jobs/10516573/security-engineer-ii-customer-logistics-security" TargetMode="External" Id="Rdb3076c98f7e408a" /><Relationship Type="http://schemas.openxmlformats.org/officeDocument/2006/relationships/hyperlink" Target="https://job-boards.greenhouse.io/doordashusa/jobs/8237701-2" TargetMode="External" Id="R32626db9beff4447" /><Relationship Type="http://schemas.openxmlformats.org/officeDocument/2006/relationships/hyperlink" Target="https://job-boards.greenhouse.io/doordashusa/jobs/8237701-2" TargetMode="External" Id="Ra7a49fd0cb0d4cc3" /><Relationship Type="http://schemas.openxmlformats.org/officeDocument/2006/relationships/hyperlink" Target="https://higher.gs.com/roles/152314" TargetMode="External" Id="Re8f4ab5785834500" /><Relationship Type="http://schemas.openxmlformats.org/officeDocument/2006/relationships/hyperlink" Target="https://higher.gs.com/roles/152314" TargetMode="External" Id="R6f3e8673fd79490b" /><Relationship Type="http://schemas.openxmlformats.org/officeDocument/2006/relationships/hyperlink" Target="https://job-boards.greenhouse.io/tenableinc/jobs/5418662008" TargetMode="External" Id="R02519619ebb14372" /><Relationship Type="http://schemas.openxmlformats.org/officeDocument/2006/relationships/hyperlink" Target="https://job-boards.greenhouse.io/tenableinc/jobs/5418662008" TargetMode="External" Id="R9f2fa0b01ff448b7" /><Relationship Type="http://schemas.openxmlformats.org/officeDocument/2006/relationships/hyperlink" Target="https://careers.homedepot.com/job/23715993/cybersecurity-engineer-ii-siem-and-edr-remote-remote/" TargetMode="External" Id="R2f06a51c57bb473a" /><Relationship Type="http://schemas.openxmlformats.org/officeDocument/2006/relationships/hyperlink" Target="https://careers.homedepot.com/job/23715993/cybersecurity-engineer-ii-siem-and-edr-remote-remote/" TargetMode="External" Id="Ra1c9ac5449434592" /><Relationship Type="http://schemas.openxmlformats.org/officeDocument/2006/relationships/table" Target="/xl/tables/table3.xml" Id="R07b3dc5cd2f2420e" /></Relationships>
</file>

<file path=xl/worksheets/sheet1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8" defaultRowHeight="15"/>
  <x:cols>
    <x:col min="1" max="1" width="22" customWidth="1"/>
    <x:col min="2" max="2" width="42" customWidth="1"/>
    <x:col min="3" max="3" width="23" customWidth="1"/>
    <x:col min="4" max="4" width="48" customWidth="1"/>
    <x:col min="5" max="5" width="14" customWidth="1"/>
    <x:col min="6" max="6" width="13" customWidth="1"/>
    <x:col min="7" max="7" width="13" customWidth="1"/>
    <x:col min="8" max="8" width="13" customWidth="1"/>
    <x:col min="9" max="9" width="13" customWidth="1"/>
    <x:col min="10" max="10" width="13" customWidth="1"/>
    <x:col min="11" max="11" width="2" hidden="1" customWidth="1"/>
  </x:cols>
  <x:sheetData>
    <x:row r="1">
      <x:c r="A1" s="45" t="inlineStr">
        <x:is>
          <x:t xml:space="preserve">🎁 DIRECT-APPLY CYBERSECURITY JOB TRACKER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</x:row>
    <x:row r="2">
      <x:c r="A2" s="1" t="n"/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</x:row>
    <x:row r="4">
      <x:c r="A4" s="51" t="inlineStr">
        <x:is>
          <x:t xml:space="preserve">66 exact employer requisitions • audited Oct. 26, 2026</x:t>
        </x:is>
      </x:c>
      <x:c r="B4" s="1" t="n"/>
      <x:c r="C4" s="1" t="n"/>
      <x:c r="D4" s="1" t="n"/>
      <x:c r="E4" s="1" t="n"/>
      <x:c r="F4" s="1" t="n"/>
      <x:c r="G4" s="1" t="n"/>
      <x:c r="H4" s="1" t="n"/>
      <x:c r="I4" s="1" t="n"/>
      <x:c r="J4" s="1" t="n"/>
    </x:row>
    <x:row r="6">
      <x:c r="A6" s="53" t="inlineStr">
        <x:is>
          <x:t xml:space="preserve">Direct jobs</x:t>
        </x:is>
      </x:c>
      <x:c r="B6" s="1" t="n"/>
      <x:c r="C6" s="53" t="inlineStr">
        <x:is>
          <x:t xml:space="preserve">Apply First</x:t>
        </x:is>
      </x:c>
      <x:c r="D6" s="1" t="n"/>
      <x:c r="E6" s="53" t="inlineStr">
        <x:is>
          <x:t xml:space="preserve">Resume matches</x:t>
        </x:is>
      </x:c>
      <x:c r="F6" s="1" t="n"/>
      <x:c r="G6" s="53" t="inlineStr">
        <x:is>
          <x:t xml:space="preserve">Applied</x:t>
        </x:is>
      </x:c>
      <x:c r="H6" s="1" t="n"/>
      <x:c r="I6" s="53" t="inlineStr">
        <x:is>
          <x:t xml:space="preserve">Interviews</x:t>
        </x:is>
      </x:c>
      <x:c r="J6" s="1" t="n"/>
    </x:row>
    <x:row r="7">
      <x:c r="A7" s="61" t="n">
        <x:v>66</x:v>
      </x:c>
      <x:c r="B7" s="1" t="n"/>
      <x:c r="C7" s="61" t="n">
        <x:v>29</x:v>
      </x:c>
      <x:c r="D7" s="1" t="n"/>
      <x:c r="E7" s="61" t="n">
        <x:v>35</x:v>
      </x:c>
      <x:c r="F7" s="1" t="n"/>
      <x:c r="G7" s="61" t="n">
        <x:f>COUNTIF('All Direct Jobs'!M2:M200,"Applied")</x:f>
        <x:v>0</x:v>
      </x:c>
      <x:c r="H7" s="1" t="n"/>
      <x:c r="I7" s="61" t="n">
        <x:f>COUNTIF('All Direct Jobs'!M2:M200,"Interview")</x:f>
        <x:v>0</x:v>
      </x:c>
      <x:c r="J7" s="1" t="n"/>
    </x:row>
    <x:row r="8">
      <x:c r="A8" s="1" t="n"/>
      <x:c r="B8" s="1" t="n"/>
      <x:c r="C8" s="1" t="n"/>
      <x:c r="D8" s="1" t="n"/>
      <x:c r="E8" s="1" t="n"/>
      <x:c r="F8" s="1" t="n"/>
      <x:c r="G8" s="1" t="n"/>
      <x:c r="H8" s="1" t="n"/>
      <x:c r="I8" s="1" t="n"/>
      <x:c r="J8" s="1" t="n"/>
    </x:row>
    <x:row r="10">
      <x:c r="A10" s="8" t="inlineStr">
        <x:is>
          <x:t xml:space="preserve">WHAT IS DIFFERENT NOW</x:t>
        </x:is>
      </x:c>
      <x:c r="B10" s="1" t="n"/>
      <x:c r="C10" s="1" t="n"/>
      <x:c r="D10" s="1" t="n"/>
      <x:c r="E10" s="1" t="n"/>
      <x:c r="F10" s="1" t="n"/>
      <x:c r="G10" s="1" t="n"/>
      <x:c r="H10" s="1" t="n"/>
      <x:c r="I10" s="1" t="n"/>
      <x:c r="J10" s="1" t="n"/>
    </x:row>
    <x:row r="11" ht="28" customHeight="1">
      <x:c r="A11" s="65" t="inlineStr">
        <x:is>
          <x:t xml:space="preserve">Every Apply → cell will be a native Excel hyperlink to the exact employer requisition.</x:t>
        </x:is>
      </x:c>
      <x:c r="B11" s="1" t="n"/>
      <x:c r="C11" s="1" t="n"/>
      <x:c r="D11" s="1" t="n"/>
      <x:c r="E11" s="1" t="n"/>
      <x:c r="F11" s="1" t="n"/>
      <x:c r="G11" s="1" t="n"/>
      <x:c r="H11" s="1" t="n"/>
      <x:c r="I11" s="1" t="n"/>
      <x:c r="J11" s="1" t="n"/>
    </x:row>
    <x:row r="12" ht="28" customHeight="1">
      <x:c r="A12" s="69" t="inlineStr">
        <x:is>
          <x:t xml:space="preserve">No Google-search, EarlyTechRoles, Simplify, H1BConnect, Indeed or ZipRecruiter page is used as the Apply destination.</x:t>
        </x:is>
      </x:c>
      <x:c r="B12" s="1" t="n"/>
      <x:c r="C12" s="1" t="n"/>
      <x:c r="D12" s="1" t="n"/>
      <x:c r="E12" s="1" t="n"/>
      <x:c r="F12" s="1" t="n"/>
      <x:c r="G12" s="1" t="n"/>
      <x:c r="H12" s="1" t="n"/>
      <x:c r="I12" s="1" t="n"/>
      <x:c r="J12" s="1" t="n"/>
    </x:row>
    <x:row r="13" ht="28" customHeight="1">
      <x:c r="A13" s="65" t="inlineStr">
        <x:is>
          <x:t xml:space="preserve">Closed/dead exact requisitions are removed rather than left as leads.</x:t>
        </x:is>
      </x:c>
      <x:c r="B13" s="1" t="n"/>
      <x:c r="C13" s="1" t="n"/>
      <x:c r="D13" s="1" t="n"/>
      <x:c r="E13" s="1" t="n"/>
      <x:c r="F13" s="1" t="n"/>
      <x:c r="G13" s="1" t="n"/>
      <x:c r="H13" s="1" t="n"/>
      <x:c r="I13" s="1" t="n"/>
      <x:c r="J13" s="1" t="n"/>
    </x:row>
    <x:row r="14" ht="28" customHeight="1">
      <x:c r="A14" s="69" t="inlineStr">
        <x:is>
          <x:t xml:space="preserve">H-1B labels are conservative: sponsor history is separated from role-level guarantees.</x:t>
        </x:is>
      </x:c>
      <x:c r="B14" s="1" t="n"/>
      <x:c r="C14" s="1" t="n"/>
      <x:c r="D14" s="1" t="n"/>
      <x:c r="E14" s="1" t="n"/>
      <x:c r="F14" s="1" t="n"/>
      <x:c r="G14" s="1" t="n"/>
      <x:c r="H14" s="1" t="n"/>
      <x:c r="I14" s="1" t="n"/>
      <x:c r="J14" s="1" t="n"/>
    </x:row>
    <x:row r="15" ht="28" customHeight="1">
      <x:c r="A15" s="65" t="inlineStr">
        <x:is>
          <x:t xml:space="preserve">Quality is prioritized over forcing the spreadsheet to 100 rows.</x:t>
        </x:is>
      </x:c>
      <x:c r="B15" s="1" t="n"/>
      <x:c r="C15" s="1" t="n"/>
      <x:c r="D15" s="1" t="n"/>
      <x:c r="E15" s="1" t="n"/>
      <x:c r="F15" s="1" t="n"/>
      <x:c r="G15" s="1" t="n"/>
      <x:c r="H15" s="1" t="n"/>
      <x:c r="I15" s="1" t="n"/>
      <x:c r="J15" s="1" t="n"/>
    </x:row>
    <x:row r="18">
      <x:c r="A18" s="22" t="inlineStr">
        <x:is>
          <x:t xml:space="preserve">TOP DIRECT-APPLY PICKS</x:t>
        </x:is>
      </x:c>
      <x:c r="B18" s="1" t="n"/>
      <x:c r="C18" s="1" t="n"/>
      <x:c r="D18" s="1" t="n"/>
      <x:c r="E18" s="1" t="n"/>
      <x:c r="F18" s="1" t="n"/>
      <x:c r="G18" s="1" t="n"/>
      <x:c r="H18" s="1" t="n"/>
      <x:c r="I18" s="1" t="n"/>
      <x:c r="J18" s="1" t="n"/>
    </x:row>
    <x:row r="19">
      <x:c r="A19" s="71" t="inlineStr">
        <x:is>
          <x:t xml:space="preserve">Company</x:t>
        </x:is>
      </x:c>
      <x:c r="B19" s="71" t="inlineStr">
        <x:is>
          <x:t xml:space="preserve">Role</x:t>
        </x:is>
      </x:c>
      <x:c r="C19" s="71" t="inlineStr">
        <x:is>
          <x:t xml:space="preserve">Level</x:t>
        </x:is>
      </x:c>
      <x:c r="D19" s="71" t="inlineStr">
        <x:is>
          <x:t xml:space="preserve">Visa signal</x:t>
        </x:is>
      </x:c>
      <x:c r="E19" s="71" t="inlineStr">
        <x:is>
          <x:t xml:space="preserve">Apply</x:t>
        </x:is>
      </x:c>
    </x:row>
    <x:row r="20">
      <x:c r="A20" t="inlineStr">
        <x:is>
          <x:t xml:space="preserve">Together AI</x:t>
        </x:is>
      </x:c>
      <x:c r="B20" t="inlineStr">
        <x:is>
          <x:t xml:space="preserve">Hardware Security Engineer, New Grad (2027)</x:t>
        </x:is>
      </x:c>
      <x:c r="C20" t="inlineStr">
        <x:is>
          <x:t xml:space="preserve">New Grad 2027</x:t>
        </x:is>
      </x:c>
      <x:c r="D20" t="inlineStr">
        <x:is>
          <x:t xml:space="preserve">Strong sponsor-profile employer; exact role does not promise H-1B</x:t>
        </x:is>
      </x:c>
      <x:c r="E20" s="72" t="inlineStr">
        <x:is>
          <x:t xml:space="preserve">Apply →</x:t>
        </x:is>
      </x:c>
      <x:c r="K20" t="inlineStr">
        <x:is>
          <x:t xml:space="preserve">https://job-boards.greenhouse.io/togetherai/jobs/5238471007</x:t>
        </x:is>
      </x:c>
    </x:row>
    <x:row r="21">
      <x:c r="A21" t="inlineStr">
        <x:is>
          <x:t xml:space="preserve">Rubrik</x:t>
        </x:is>
      </x:c>
      <x:c r="B21" t="inlineStr">
        <x:is>
          <x:t xml:space="preserve">Software Engineer - Product Platform Security</x:t>
        </x:is>
      </x:c>
      <x:c r="C21" t="inlineStr">
        <x:is>
          <x:t xml:space="preserve">0–2 years</x:t>
        </x:is>
      </x:c>
      <x:c r="D21" t="inlineStr">
        <x:is>
          <x:t xml:space="preserve">Strong sponsor-profile employer; role-level confirmation still needed</x:t>
        </x:is>
      </x:c>
      <x:c r="E21" s="72" t="inlineStr">
        <x:is>
          <x:t xml:space="preserve">Apply →</x:t>
        </x:is>
      </x:c>
      <x:c r="K21" t="inlineStr">
        <x:is>
          <x:t xml:space="preserve">https://www.rubrik.com/company/careers/departments/job.8243737?gh_jid=8243737</x:t>
        </x:is>
      </x:c>
    </x:row>
    <x:row r="22">
      <x:c r="A22" t="inlineStr">
        <x:is>
          <x:t xml:space="preserve">Applied Intuition</x:t>
        </x:is>
      </x:c>
      <x:c r="B22" t="inlineStr">
        <x:is>
          <x:t xml:space="preserve">Cybersecurity Software Engineer - New Grad (2027)</x:t>
        </x:is>
      </x:c>
      <x:c r="C22" t="inlineStr">
        <x:is>
          <x:t xml:space="preserve">New Grad 2027</x:t>
        </x:is>
      </x:c>
      <x:c r="D22" t="inlineStr">
        <x:is>
          <x:t xml:space="preserve">Strong sponsor-profile employer; no explicit role blocker found</x:t>
        </x:is>
      </x:c>
      <x:c r="E22" s="72" t="inlineStr">
        <x:is>
          <x:t xml:space="preserve">Apply →</x:t>
        </x:is>
      </x:c>
      <x:c r="K22" t="inlineStr">
        <x:is>
          <x:t xml:space="preserve">https://jobs.ashbyhq.com/applied/a561fff8-aa38-4a5d-8b29-66c191f7328e/</x:t>
        </x:is>
      </x:c>
    </x:row>
    <x:row r="23">
      <x:c r="A23" t="inlineStr">
        <x:is>
          <x:t xml:space="preserve">1Password</x:t>
        </x:is>
      </x:c>
      <x:c r="B23" t="inlineStr">
        <x:is>
          <x:t xml:space="preserve">Junior Security Engineer</x:t>
        </x:is>
      </x:c>
      <x:c r="C23" t="inlineStr">
        <x:is>
          <x:t xml:space="preserve">0–2+ years</x:t>
        </x:is>
      </x:c>
      <x:c r="D23" t="inlineStr">
        <x:is>
          <x:t xml:space="preserve">No explicit no-sponsorship blocker found; confirm future H-1B</x:t>
        </x:is>
      </x:c>
      <x:c r="E23" s="72" t="inlineStr">
        <x:is>
          <x:t xml:space="preserve">Apply →</x:t>
        </x:is>
      </x:c>
      <x:c r="K23" t="inlineStr">
        <x:is>
          <x:t xml:space="preserve">https://jobs.ashbyhq.com/1password/49f0fe51-fcdc-46d8-a046-35f357b0cf6e/</x:t>
        </x:is>
      </x:c>
    </x:row>
    <x:row r="24">
      <x:c r="A24" t="inlineStr">
        <x:is>
          <x:t xml:space="preserve">CrowdStrike</x:t>
        </x:is>
      </x:c>
      <x:c r="B24" t="inlineStr">
        <x:is>
          <x:t xml:space="preserve">Analyst I, Falcon Complete</x:t>
        </x:is>
      </x:c>
      <x:c r="C24" t="inlineStr">
        <x:is>
          <x:t xml:space="preserve">Entry level</x:t>
        </x:is>
      </x:c>
      <x:c r="D24" t="inlineStr">
        <x:is>
          <x:t xml:space="preserve">Strong sponsor-profile employer; confirm exact requisition</x:t>
        </x:is>
      </x:c>
      <x:c r="E24" s="72" t="inlineStr">
        <x:is>
          <x:t xml:space="preserve">Apply →</x:t>
        </x:is>
      </x:c>
      <x:c r="K24" t="inlineStr">
        <x:is>
          <x:t xml:space="preserve">https://crowdstrike.wd5.myworkdayjobs.com/en-US/crowdstrikecareers/job/Associate-Analyst--Falcon-Complete_R30082</x:t>
        </x:is>
      </x:c>
    </x:row>
    <x:row r="25">
      <x:c r="A25" t="inlineStr">
        <x:is>
          <x:t xml:space="preserve">Bloomberg Industry Group</x:t>
        </x:is>
      </x:c>
      <x:c r="B25" t="inlineStr">
        <x:is>
          <x:t xml:space="preserve">Application Security Engineer I</x:t>
        </x:is>
      </x:c>
      <x:c r="C25" t="inlineStr">
        <x:is>
          <x:t xml:space="preserve">1–2 years</x:t>
        </x:is>
      </x:c>
      <x:c r="D25" t="inlineStr">
        <x:is>
          <x:t xml:space="preserve">No explicit no-sponsorship blocker found; confirm future H-1B</x:t>
        </x:is>
      </x:c>
      <x:c r="E25" s="72" t="inlineStr">
        <x:is>
          <x:t xml:space="preserve">Apply →</x:t>
        </x:is>
      </x:c>
      <x:c r="K25" t="inlineStr">
        <x:is>
          <x:t xml:space="preserve">https://bloomberg.wd1.myworkdayjobs.com/en-US/Bloombergindustrygroup_External_Career_Site/job/Application-Security-Engineer-I_142068-1</x:t>
        </x:is>
      </x:c>
    </x:row>
    <x:row r="26">
      <x:c r="A26" t="inlineStr">
        <x:is>
          <x:t xml:space="preserve">Team Cymru</x:t>
        </x:is>
      </x:c>
      <x:c r="B26" t="inlineStr">
        <x:is>
          <x:t xml:space="preserve">Threat Intelligence Analyst</x:t>
        </x:is>
      </x:c>
      <x:c r="C26" t="inlineStr">
        <x:is>
          <x:t xml:space="preserve">Early career</x:t>
        </x:is>
      </x:c>
      <x:c r="D26" t="inlineStr">
        <x:is>
          <x:t xml:space="preserve">No explicit no-sponsorship blocker found; confirm future H-1B</x:t>
        </x:is>
      </x:c>
      <x:c r="E26" s="72" t="inlineStr">
        <x:is>
          <x:t xml:space="preserve">Apply →</x:t>
        </x:is>
      </x:c>
      <x:c r="K26" t="inlineStr">
        <x:is>
          <x:t xml:space="preserve">https://teamcymru.applytojob.com/apply/i2C3uTjEtS/Threat-Intelligence-Analyst</x:t>
        </x:is>
      </x:c>
    </x:row>
    <x:row r="27">
      <x:c r="A27" t="inlineStr">
        <x:is>
          <x:t xml:space="preserve">Binary Defense</x:t>
        </x:is>
      </x:c>
      <x:c r="B27" t="inlineStr">
        <x:is>
          <x:t xml:space="preserve">Tier 1 SOC Analyst - REMOTE</x:t>
        </x:is>
      </x:c>
      <x:c r="C27" t="inlineStr">
        <x:is>
          <x:t xml:space="preserve">Tier 1</x:t>
        </x:is>
      </x:c>
      <x:c r="D27" t="inlineStr">
        <x:is>
          <x:t xml:space="preserve">No explicit no-sponsorship blocker found; confirm future H-1B</x:t>
        </x:is>
      </x:c>
      <x:c r="E27" s="72" t="inlineStr">
        <x:is>
          <x:t xml:space="preserve">Apply →</x:t>
        </x:is>
      </x:c>
      <x:c r="K27" t="inlineStr">
        <x:is>
          <x:t xml:space="preserve">https://recruiting.paylocity.com/recruiting/jobs/Details/4503952/Binary-Defense/Tier-1-SOC-Analyst---REMOTE</x:t>
        </x:is>
      </x:c>
    </x:row>
    <x:row r="28">
      <x:c r="A28" t="inlineStr">
        <x:is>
          <x:t xml:space="preserve">SailPoint</x:t>
        </x:is>
      </x:c>
      <x:c r="B28" t="inlineStr">
        <x:is>
          <x:t xml:space="preserve">Associate Security Software Engineer</x:t>
        </x:is>
      </x:c>
      <x:c r="C28" t="inlineStr">
        <x:is>
          <x:t xml:space="preserve">Associate</x:t>
        </x:is>
      </x:c>
      <x:c r="D28" t="inlineStr">
        <x:is>
          <x:t xml:space="preserve">Strong sponsor-profile employer; confirm exact requisition</x:t>
        </x:is>
      </x:c>
      <x:c r="E28" s="72" t="inlineStr">
        <x:is>
          <x:t xml:space="preserve">Apply →</x:t>
        </x:is>
      </x:c>
      <x:c r="K28" t="inlineStr">
        <x:is>
          <x:t xml:space="preserve">https://sailpoint.wd1.myworkdayjobs.com/en-US/SailPoint/job/Associate-Security-Software-Engineer_R013786</x:t>
        </x:is>
      </x:c>
    </x:row>
    <x:row r="29">
      <x:c r="A29" t="inlineStr">
        <x:is>
          <x:t xml:space="preserve">ID.me</x:t>
        </x:is>
      </x:c>
      <x:c r="B29" t="inlineStr">
        <x:is>
          <x:t xml:space="preserve">SOC Analyst</x:t>
        </x:is>
      </x:c>
      <x:c r="C29" t="inlineStr">
        <x:is>
          <x:t xml:space="preserve">Early career</x:t>
        </x:is>
      </x:c>
      <x:c r="D29" t="inlineStr">
        <x:is>
          <x:t xml:space="preserve">Sponsor-capable tech employer; role-level confirmation needed</x:t>
        </x:is>
      </x:c>
      <x:c r="E29" s="72" t="inlineStr">
        <x:is>
          <x:t xml:space="preserve">Apply →</x:t>
        </x:is>
      </x:c>
      <x:c r="K29" t="inlineStr">
        <x:is>
          <x:t xml:space="preserve">https://job-boards.greenhouse.io/idme/jobs/7808011003</x:t>
        </x:is>
      </x:c>
    </x:row>
  </x:sheetData>
  <x:mergeCells>
    <x:mergeCell ref="A1:J2"/>
    <x:mergeCell ref="C6:D6"/>
    <x:mergeCell ref="A14:J14"/>
    <x:mergeCell ref="I6:J6"/>
    <x:mergeCell ref="A4:J4"/>
    <x:mergeCell ref="A10:J10"/>
    <x:mergeCell ref="A6:B6"/>
    <x:mergeCell ref="A13:J13"/>
    <x:mergeCell ref="C7:D8"/>
    <x:mergeCell ref="E7:F8"/>
    <x:mergeCell ref="A15:J15"/>
    <x:mergeCell ref="G6:H6"/>
    <x:mergeCell ref="A11:J11"/>
    <x:mergeCell ref="E6:F6"/>
    <x:mergeCell ref="G7:H8"/>
    <x:mergeCell ref="I7:J8"/>
    <x:mergeCell ref="A7:B8"/>
    <x:mergeCell ref="A18:J18"/>
    <x:mergeCell ref="A12:J12"/>
  </x:mergeCells>
  <x:hyperlinks>
    <x:hyperlink xmlns:r="http://schemas.openxmlformats.org/officeDocument/2006/relationships" ref="E20" r:id="R59bfb734f9a0488f"/>
    <x:hyperlink xmlns:r="http://schemas.openxmlformats.org/officeDocument/2006/relationships" ref="E21" r:id="Rabf1bbfd8c374321"/>
    <x:hyperlink xmlns:r="http://schemas.openxmlformats.org/officeDocument/2006/relationships" ref="E22" r:id="R6c7dfbc5eb7440af"/>
    <x:hyperlink xmlns:r="http://schemas.openxmlformats.org/officeDocument/2006/relationships" ref="E23" r:id="Rcaaeb8d836aa4f94"/>
    <x:hyperlink xmlns:r="http://schemas.openxmlformats.org/officeDocument/2006/relationships" ref="E24" r:id="Rfb91904912444fcb"/>
    <x:hyperlink xmlns:r="http://schemas.openxmlformats.org/officeDocument/2006/relationships" ref="E25" r:id="R3c49eab84d3843d2"/>
    <x:hyperlink xmlns:r="http://schemas.openxmlformats.org/officeDocument/2006/relationships" ref="E26" r:id="R0300265aa8644bb9"/>
    <x:hyperlink xmlns:r="http://schemas.openxmlformats.org/officeDocument/2006/relationships" ref="E27" r:id="Rb0df01a9f6d64d18"/>
    <x:hyperlink xmlns:r="http://schemas.openxmlformats.org/officeDocument/2006/relationships" ref="E28" r:id="Re904bc7fe7a0492c"/>
    <x:hyperlink xmlns:r="http://schemas.openxmlformats.org/officeDocument/2006/relationships" ref="E29" r:id="R6f44f375c8fd4364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16" customWidth="1"/>
    <x:col min="2" max="2" width="22" customWidth="1"/>
    <x:col min="3" max="3" width="44" customWidth="1"/>
    <x:col min="4" max="4" width="27" customWidth="1"/>
    <x:col min="5" max="5" width="26" customWidth="1"/>
    <x:col min="6" max="6" width="25" customWidth="1"/>
    <x:col min="7" max="7" width="48" customWidth="1"/>
    <x:col min="8" max="8" width="18" customWidth="1"/>
    <x:col min="9" max="9" width="18" customWidth="1"/>
    <x:col min="10" max="10" width="13" customWidth="1"/>
    <x:col min="11" max="11" width="55" customWidth="1"/>
    <x:col min="12" max="12" width="14" customWidth="1"/>
    <x:col min="13" max="13" width="14" customWidth="1"/>
    <x:col min="14" max="14" width="14" customWidth="1"/>
    <x:col min="15" max="15" width="28" customWidth="1"/>
    <x:col min="17" max="17" width="16" hidden="0" customWidth="1"/>
    <x:col min="18" max="18" width="48" hidden="0" customWidth="1"/>
  </x:cols>
  <x:sheetData>
    <x:row r="1" ht="38" customHeight="1">
      <x:c r="A1" s="20" t="inlineStr">
        <x:is>
          <x:t xml:space="preserve">Priority</x:t>
        </x:is>
      </x:c>
      <x:c r="B1" s="20" t="inlineStr">
        <x:is>
          <x:t xml:space="preserve">Company</x:t>
        </x:is>
      </x:c>
      <x:c r="C1" s="20" t="inlineStr">
        <x:is>
          <x:t xml:space="preserve">Role</x:t>
        </x:is>
      </x:c>
      <x:c r="D1" s="20" t="inlineStr">
        <x:is>
          <x:t xml:space="preserve">Track</x:t>
        </x:is>
      </x:c>
      <x:c r="E1" s="20" t="inlineStr">
        <x:is>
          <x:t xml:space="preserve">Location</x:t>
        </x:is>
      </x:c>
      <x:c r="F1" s="20" t="inlineStr">
        <x:is>
          <x:t xml:space="preserve">Experience / Level</x:t>
        </x:is>
      </x:c>
      <x:c r="G1" s="20" t="inlineStr">
        <x:is>
          <x:t xml:space="preserve">H-1B / Visa Signal</x:t>
        </x:is>
      </x:c>
      <x:c r="H1" s="20" t="inlineStr">
        <x:is>
          <x:t xml:space="preserve">Resume Fit</x:t>
        </x:is>
      </x:c>
      <x:c r="I1" s="20" t="inlineStr">
        <x:is>
          <x:t xml:space="preserve">Compensation</x:t>
        </x:is>
      </x:c>
      <x:c r="J1" s="20" t="inlineStr">
        <x:is>
          <x:t xml:space="preserve">Apply</x:t>
        </x:is>
      </x:c>
      <x:c r="K1" s="20" t="inlineStr">
        <x:is>
          <x:t xml:space="preserve">Exact Employer URL</x:t>
        </x:is>
      </x:c>
      <x:c r="L1" s="20" t="inlineStr">
        <x:is>
          <x:t xml:space="preserve">Checked</x:t>
        </x:is>
      </x:c>
      <x:c r="M1" s="20" t="str">
        <x:v>Status (linked)</x:v>
      </x:c>
      <x:c r="N1" s="20" t="str">
        <x:v>Date Applied (linked)</x:v>
      </x:c>
      <x:c r="O1" s="20" t="str">
        <x:v>Notes (linked)</x:v>
      </x:c>
      <x:c r="Q1" s="116" t="str">
        <x:v>LIVE VIEW</x:v>
      </x:c>
      <x:c r="R1" s="116" t="str">
        <x:v>Status, Date Applied, and Notes are linked from All Direct Jobs.</x:v>
      </x:c>
    </x:row>
    <x:row r="2">
      <x:c r="A2" s="13" t="inlineStr">
        <x:is>
          <x:t xml:space="preserve">🔥 Apply First</x:t>
        </x:is>
      </x:c>
      <x:c r="B2" s="13" t="inlineStr">
        <x:is>
          <x:t xml:space="preserve">Together AI</x:t>
        </x:is>
      </x:c>
      <x:c r="C2" s="13" t="inlineStr">
        <x:is>
          <x:t xml:space="preserve">Hardware Security Engineer, New Grad (2027)</x:t>
        </x:is>
      </x:c>
      <x:c r="D2" s="13" t="inlineStr">
        <x:is>
          <x:t xml:space="preserve">AI / Hardware Security</x:t>
        </x:is>
      </x:c>
      <x:c r="E2" s="13" t="inlineStr">
        <x:is>
          <x:t xml:space="preserve">San Francisco, CA</x:t>
        </x:is>
      </x:c>
      <x:c r="F2" s="13" t="inlineStr">
        <x:is>
          <x:t xml:space="preserve">New Grad 2027</x:t>
        </x:is>
      </x:c>
      <x:c r="G2" s="13" t="inlineStr">
        <x:is>
          <x:t xml:space="preserve">Strong sponsor-profile employer; exact role does not promise H-1B</x:t>
        </x:is>
      </x:c>
      <x:c r="H2" s="13" t="inlineStr">
        <x:is>
          <x:t xml:space="preserve">Excellent</x:t>
        </x:is>
      </x:c>
      <x:c r="I2" s="13" t="inlineStr">
        <x:is>
          <x:t xml:space="preserve">$140K–$150K</x:t>
        </x:is>
      </x:c>
      <x:c r="J2" s="72" t="inlineStr">
        <x:is>
          <x:t xml:space="preserve">Apply →</x:t>
        </x:is>
      </x:c>
      <x:c r="K2" s="72" t="inlineStr">
        <x:is>
          <x:t xml:space="preserve">https://job-boards.greenhouse.io/togetherai/jobs/5238471007</x:t>
        </x:is>
      </x:c>
      <x:c r="L2" s="13" t="inlineStr">
        <x:is>
          <x:t xml:space="preserve">2026-10-26</x:t>
        </x:is>
      </x:c>
      <x:c r="M2" s="13" t="str">
        <x:f>'All Direct Jobs'!M2</x:f>
        <x:v>Not Applied</x:v>
      </x:c>
      <x:c r="N2" s="13" t="str">
        <x:f>IF('All Direct Jobs'!N2="","",'All Direct Jobs'!N2)</x:f>
      </x:c>
      <x:c r="O2" s="13" t="str">
        <x:f>IF('All Direct Jobs'!O2="","",'All Direct Jobs'!O2)</x:f>
      </x:c>
      <x:c r="Q2" s="79" t="str">
        <x:v>Where to edit</x:v>
      </x:c>
      <x:c r="R2" s="79" t="str">
        <x:v>Update those fields only in All Direct Jobs.</x:v>
      </x:c>
    </x:row>
    <x:row r="3">
      <x:c r="A3" s="13" t="inlineStr">
        <x:is>
          <x:t xml:space="preserve">🔥 Apply First</x:t>
        </x:is>
      </x:c>
      <x:c r="B3" s="13" t="inlineStr">
        <x:is>
          <x:t xml:space="preserve">Rubrik</x:t>
        </x:is>
      </x:c>
      <x:c r="C3" s="13" t="inlineStr">
        <x:is>
          <x:t xml:space="preserve">Software Engineer - Product Platform Security</x:t>
        </x:is>
      </x:c>
      <x:c r="D3" s="13" t="inlineStr">
        <x:is>
          <x:t xml:space="preserve">Product Security</x:t>
        </x:is>
      </x:c>
      <x:c r="E3" s="13" t="inlineStr">
        <x:is>
          <x:t xml:space="preserve">Palo Alto, CA</x:t>
        </x:is>
      </x:c>
      <x:c r="F3" s="13" t="inlineStr">
        <x:is>
          <x:t xml:space="preserve">0–2 years</x:t>
        </x:is>
      </x:c>
      <x:c r="G3" s="13" t="inlineStr">
        <x:is>
          <x:t xml:space="preserve">Strong sponsor-profile employer; role-level confirmation still needed</x:t>
        </x:is>
      </x:c>
      <x:c r="H3" s="13" t="inlineStr">
        <x:is>
          <x:t xml:space="preserve">Excellent</x:t>
        </x:is>
      </x:c>
      <x:c r="I3" s="13" t="inlineStr">
        <x:is>
          <x:t xml:space="preserve">$131.4K–$197.2K</x:t>
        </x:is>
      </x:c>
      <x:c r="J3" s="72" t="inlineStr">
        <x:is>
          <x:t xml:space="preserve">Apply →</x:t>
        </x:is>
      </x:c>
      <x:c r="K3" s="72" t="inlineStr">
        <x:is>
          <x:t xml:space="preserve">https://www.rubrik.com/company/careers/departments/job.8243737?gh_jid=8243737</x:t>
        </x:is>
      </x:c>
      <x:c r="L3" s="13" t="inlineStr">
        <x:is>
          <x:t xml:space="preserve">2026-10-26</x:t>
        </x:is>
      </x:c>
      <x:c r="M3" s="13" t="str">
        <x:f>'All Direct Jobs'!M3</x:f>
        <x:v>Not Applied</x:v>
      </x:c>
      <x:c r="N3" s="13" t="str">
        <x:f>IF('All Direct Jobs'!N3="","",'All Direct Jobs'!N3)</x:f>
      </x:c>
      <x:c r="O3" s="13" t="str">
        <x:f>IF('All Direct Jobs'!O3="","",'All Direct Jobs'!O3)</x:f>
      </x:c>
      <x:c r="Q3" s="79" t="str">
        <x:v>Why</x:v>
      </x:c>
      <x:c r="R3" s="79" t="str">
        <x:v>One source of truth prevents conflicting application states.</x:v>
      </x:c>
    </x:row>
    <x:row r="4">
      <x:c r="A4" s="13" t="inlineStr">
        <x:is>
          <x:t xml:space="preserve">🔥 Apply First</x:t>
        </x:is>
      </x:c>
      <x:c r="B4" s="13" t="inlineStr">
        <x:is>
          <x:t xml:space="preserve">Applied Intuition</x:t>
        </x:is>
      </x:c>
      <x:c r="C4" s="13" t="inlineStr">
        <x:is>
          <x:t xml:space="preserve">Cybersecurity Software Engineer - New Grad (2027)</x:t>
        </x:is>
      </x:c>
      <x:c r="D4" s="13" t="inlineStr">
        <x:is>
          <x:t xml:space="preserve">Product / Embedded Security</x:t>
        </x:is>
      </x:c>
      <x:c r="E4" s="13" t="inlineStr">
        <x:is>
          <x:t xml:space="preserve">Sunnyvale, CA</x:t>
        </x:is>
      </x:c>
      <x:c r="F4" s="13" t="inlineStr">
        <x:is>
          <x:t xml:space="preserve">New Grad 2027</x:t>
        </x:is>
      </x:c>
      <x:c r="G4" s="13" t="inlineStr">
        <x:is>
          <x:t xml:space="preserve">Strong sponsor-profile employer; no explicit role blocker found</x:t>
        </x:is>
      </x:c>
      <x:c r="H4" s="13" t="inlineStr">
        <x:is>
          <x:t xml:space="preserve">Excellent</x:t>
        </x:is>
      </x:c>
      <x:c r="I4" s="13" t="inlineStr">
        <x:is>
          <x:t xml:space="preserve">$130K–$158K</x:t>
        </x:is>
      </x:c>
      <x:c r="J4" s="72" t="inlineStr">
        <x:is>
          <x:t xml:space="preserve">Apply →</x:t>
        </x:is>
      </x:c>
      <x:c r="K4" s="72" t="inlineStr">
        <x:is>
          <x:t xml:space="preserve">https://jobs.ashbyhq.com/applied/a561fff8-aa38-4a5d-8b29-66c191f7328e/</x:t>
        </x:is>
      </x:c>
      <x:c r="L4" s="13" t="inlineStr">
        <x:is>
          <x:t xml:space="preserve">2026-10-26</x:t>
        </x:is>
      </x:c>
      <x:c r="M4" s="13" t="str">
        <x:f>'All Direct Jobs'!M4</x:f>
        <x:v>Not Applied</x:v>
      </x:c>
      <x:c r="N4" s="13" t="str">
        <x:f>IF('All Direct Jobs'!N4="","",'All Direct Jobs'!N4)</x:f>
      </x:c>
      <x:c r="O4" s="13" t="str">
        <x:f>IF('All Direct Jobs'!O4="","",'All Direct Jobs'!O4)</x:f>
      </x:c>
    </x:row>
    <x:row r="5">
      <x:c r="A5" s="13" t="inlineStr">
        <x:is>
          <x:t xml:space="preserve">🔥 Apply First</x:t>
        </x:is>
      </x:c>
      <x:c r="B5" s="13" t="inlineStr">
        <x:is>
          <x:t xml:space="preserve">1Password</x:t>
        </x:is>
      </x:c>
      <x:c r="C5" s="13" t="inlineStr">
        <x:is>
          <x:t xml:space="preserve">Junior Security Engineer</x:t>
        </x:is>
      </x:c>
      <x:c r="D5" s="13" t="inlineStr">
        <x:is>
          <x:t xml:space="preserve">Application Security</x:t>
        </x:is>
      </x:c>
      <x:c r="E5" s="13" t="inlineStr">
        <x:is>
          <x:t xml:space="preserve">Remote US / Canada</x:t>
        </x:is>
      </x:c>
      <x:c r="F5" s="13" t="inlineStr">
        <x:is>
          <x:t xml:space="preserve">0–2+ years</x:t>
        </x:is>
      </x:c>
      <x:c r="G5" s="13" t="inlineStr">
        <x:is>
          <x:t xml:space="preserve">No explicit no-sponsorship blocker found; confirm future H-1B</x:t>
        </x:is>
      </x:c>
      <x:c r="H5" s="13" t="inlineStr">
        <x:is>
          <x:t xml:space="preserve">Excellent</x:t>
        </x:is>
      </x:c>
      <x:c r="I5" s="13" t="inlineStr">
        <x:is>
          <x:t xml:space="preserve">Not listed</x:t>
        </x:is>
      </x:c>
      <x:c r="J5" s="72" t="inlineStr">
        <x:is>
          <x:t xml:space="preserve">Apply →</x:t>
        </x:is>
      </x:c>
      <x:c r="K5" s="72" t="inlineStr">
        <x:is>
          <x:t xml:space="preserve">https://jobs.ashbyhq.com/1password/49f0fe51-fcdc-46d8-a046-35f357b0cf6e/</x:t>
        </x:is>
      </x:c>
      <x:c r="L5" s="13" t="inlineStr">
        <x:is>
          <x:t xml:space="preserve">2026-10-26</x:t>
        </x:is>
      </x:c>
      <x:c r="M5" s="13" t="str">
        <x:f>'All Direct Jobs'!M5</x:f>
        <x:v>Not Applied</x:v>
      </x:c>
      <x:c r="N5" s="13" t="str">
        <x:f>IF('All Direct Jobs'!N5="","",'All Direct Jobs'!N5)</x:f>
      </x:c>
      <x:c r="O5" s="13" t="str">
        <x:f>IF('All Direct Jobs'!O5="","",'All Direct Jobs'!O5)</x:f>
      </x:c>
    </x:row>
    <x:row r="6">
      <x:c r="A6" s="13" t="inlineStr">
        <x:is>
          <x:t xml:space="preserve">🔥 Apply First</x:t>
        </x:is>
      </x:c>
      <x:c r="B6" s="13" t="inlineStr">
        <x:is>
          <x:t xml:space="preserve">CrowdStrike</x:t>
        </x:is>
      </x:c>
      <x:c r="C6" s="13" t="inlineStr">
        <x:is>
          <x:t xml:space="preserve">Analyst I, Falcon Complete</x:t>
        </x:is>
      </x:c>
      <x:c r="D6" s="13" t="inlineStr">
        <x:is>
          <x:t xml:space="preserve">SOC / Incident Response</x:t>
        </x:is>
      </x:c>
      <x:c r="E6" s="13" t="inlineStr">
        <x:is>
          <x:t xml:space="preserve">Remote (PST/MST)</x:t>
        </x:is>
      </x:c>
      <x:c r="F6" s="13" t="inlineStr">
        <x:is>
          <x:t xml:space="preserve">Entry level</x:t>
        </x:is>
      </x:c>
      <x:c r="G6" s="13" t="inlineStr">
        <x:is>
          <x:t xml:space="preserve">Strong sponsor-profile employer; confirm exact requisition</x:t>
        </x:is>
      </x:c>
      <x:c r="H6" s="13" t="inlineStr">
        <x:is>
          <x:t xml:space="preserve">Excellent</x:t>
        </x:is>
      </x:c>
      <x:c r="I6" s="13" t="inlineStr">
        <x:is>
          <x:t xml:space="preserve">$85K–$120K</x:t>
        </x:is>
      </x:c>
      <x:c r="J6" s="72" t="inlineStr">
        <x:is>
          <x:t xml:space="preserve">Apply →</x:t>
        </x:is>
      </x:c>
      <x:c r="K6" s="72" t="inlineStr">
        <x:is>
          <x:t xml:space="preserve">https://crowdstrike.wd5.myworkdayjobs.com/en-US/crowdstrikecareers/job/Associate-Analyst--Falcon-Complete_R30082</x:t>
        </x:is>
      </x:c>
      <x:c r="L6" s="13" t="inlineStr">
        <x:is>
          <x:t xml:space="preserve">2026-10-26</x:t>
        </x:is>
      </x:c>
      <x:c r="M6" s="13" t="str">
        <x:f>'All Direct Jobs'!M6</x:f>
        <x:v>Not Applied</x:v>
      </x:c>
      <x:c r="N6" s="13" t="str">
        <x:f>IF('All Direct Jobs'!N6="","",'All Direct Jobs'!N6)</x:f>
      </x:c>
      <x:c r="O6" s="13" t="str">
        <x:f>IF('All Direct Jobs'!O6="","",'All Direct Jobs'!O6)</x:f>
      </x:c>
    </x:row>
    <x:row r="7">
      <x:c r="A7" s="13" t="inlineStr">
        <x:is>
          <x:t xml:space="preserve">🔥 Apply First</x:t>
        </x:is>
      </x:c>
      <x:c r="B7" s="13" t="inlineStr">
        <x:is>
          <x:t xml:space="preserve">Bloomberg Industry Group</x:t>
        </x:is>
      </x:c>
      <x:c r="C7" s="13" t="inlineStr">
        <x:is>
          <x:t xml:space="preserve">Application Security Engineer I</x:t>
        </x:is>
      </x:c>
      <x:c r="D7" s="13" t="inlineStr">
        <x:is>
          <x:t xml:space="preserve">Application Security</x:t>
        </x:is>
      </x:c>
      <x:c r="E7" s="13" t="inlineStr">
        <x:is>
          <x:t xml:space="preserve">Arlington, VA / Remote eligible</x:t>
        </x:is>
      </x:c>
      <x:c r="F7" s="13" t="inlineStr">
        <x:is>
          <x:t xml:space="preserve">1–2 years</x:t>
        </x:is>
      </x:c>
      <x:c r="G7" s="13" t="inlineStr">
        <x:is>
          <x:t xml:space="preserve">No explicit no-sponsorship blocker found; confirm future H-1B</x:t>
        </x:is>
      </x:c>
      <x:c r="H7" s="13" t="inlineStr">
        <x:is>
          <x:t xml:space="preserve">Excellent</x:t>
        </x:is>
      </x:c>
      <x:c r="I7" s="13" t="inlineStr">
        <x:is>
          <x:t xml:space="preserve">Not listed</x:t>
        </x:is>
      </x:c>
      <x:c r="J7" s="72" t="inlineStr">
        <x:is>
          <x:t xml:space="preserve">Apply →</x:t>
        </x:is>
      </x:c>
      <x:c r="K7" s="72" t="inlineStr">
        <x:is>
          <x:t xml:space="preserve">https://bloomberg.wd1.myworkdayjobs.com/en-US/Bloombergindustrygroup_External_Career_Site/job/Application-Security-Engineer-I_142068-1</x:t>
        </x:is>
      </x:c>
      <x:c r="L7" s="13" t="inlineStr">
        <x:is>
          <x:t xml:space="preserve">2026-10-26</x:t>
        </x:is>
      </x:c>
      <x:c r="M7" s="13" t="str">
        <x:f>'All Direct Jobs'!M8</x:f>
        <x:v>Not Applied</x:v>
      </x:c>
      <x:c r="N7" s="13" t="str">
        <x:f>IF('All Direct Jobs'!N8="","",'All Direct Jobs'!N8)</x:f>
      </x:c>
      <x:c r="O7" s="13" t="str">
        <x:f>IF('All Direct Jobs'!O8="","",'All Direct Jobs'!O8)</x:f>
      </x:c>
    </x:row>
    <x:row r="8">
      <x:c r="A8" s="13" t="inlineStr">
        <x:is>
          <x:t xml:space="preserve">🔥 Apply First</x:t>
        </x:is>
      </x:c>
      <x:c r="B8" s="13" t="inlineStr">
        <x:is>
          <x:t xml:space="preserve">Team Cymru</x:t>
        </x:is>
      </x:c>
      <x:c r="C8" s="13" t="inlineStr">
        <x:is>
          <x:t xml:space="preserve">Threat Intelligence Analyst</x:t>
        </x:is>
      </x:c>
      <x:c r="D8" s="13" t="inlineStr">
        <x:is>
          <x:t xml:space="preserve">Threat Intelligence</x:t>
        </x:is>
      </x:c>
      <x:c r="E8" s="13" t="inlineStr">
        <x:is>
          <x:t xml:space="preserve">Lake Mary, FL / US</x:t>
        </x:is>
      </x:c>
      <x:c r="F8" s="13" t="inlineStr">
        <x:is>
          <x:t xml:space="preserve">Early career</x:t>
        </x:is>
      </x:c>
      <x:c r="G8" s="13" t="inlineStr">
        <x:is>
          <x:t xml:space="preserve">No explicit no-sponsorship blocker found; confirm future H-1B</x:t>
        </x:is>
      </x:c>
      <x:c r="H8" s="13" t="inlineStr">
        <x:is>
          <x:t xml:space="preserve">Excellent</x:t>
        </x:is>
      </x:c>
      <x:c r="I8" s="13" t="inlineStr">
        <x:is>
          <x:t xml:space="preserve">Not listed</x:t>
        </x:is>
      </x:c>
      <x:c r="J8" s="72" t="inlineStr">
        <x:is>
          <x:t xml:space="preserve">Apply →</x:t>
        </x:is>
      </x:c>
      <x:c r="K8" s="72" t="inlineStr">
        <x:is>
          <x:t xml:space="preserve">https://teamcymru.applytojob.com/apply/i2C3uTjEtS/Threat-Intelligence-Analyst</x:t>
        </x:is>
      </x:c>
      <x:c r="L8" s="13" t="inlineStr">
        <x:is>
          <x:t xml:space="preserve">2026-10-26</x:t>
        </x:is>
      </x:c>
      <x:c r="M8" s="13" t="str">
        <x:f>'All Direct Jobs'!M9</x:f>
        <x:v>Not Applied</x:v>
      </x:c>
      <x:c r="N8" s="13" t="str">
        <x:f>IF('All Direct Jobs'!N9="","",'All Direct Jobs'!N9)</x:f>
      </x:c>
      <x:c r="O8" s="13" t="str">
        <x:f>IF('All Direct Jobs'!O9="","",'All Direct Jobs'!O9)</x:f>
      </x:c>
    </x:row>
    <x:row r="9">
      <x:c r="A9" s="13" t="inlineStr">
        <x:is>
          <x:t xml:space="preserve">🔥 Apply First</x:t>
        </x:is>
      </x:c>
      <x:c r="B9" s="13" t="inlineStr">
        <x:is>
          <x:t xml:space="preserve">Binary Defense</x:t>
        </x:is>
      </x:c>
      <x:c r="C9" s="13" t="inlineStr">
        <x:is>
          <x:t xml:space="preserve">Tier 1 SOC Analyst - REMOTE</x:t>
        </x:is>
      </x:c>
      <x:c r="D9" s="13" t="inlineStr">
        <x:is>
          <x:t xml:space="preserve">SOC / Detection</x:t>
        </x:is>
      </x:c>
      <x:c r="E9" s="13" t="inlineStr">
        <x:is>
          <x:t xml:space="preserve">Remote US</x:t>
        </x:is>
      </x:c>
      <x:c r="F9" s="13" t="inlineStr">
        <x:is>
          <x:t xml:space="preserve">Tier 1</x:t>
        </x:is>
      </x:c>
      <x:c r="G9" s="13" t="inlineStr">
        <x:is>
          <x:t xml:space="preserve">No explicit no-sponsorship blocker found; confirm future H-1B</x:t>
        </x:is>
      </x:c>
      <x:c r="H9" s="13" t="inlineStr">
        <x:is>
          <x:t xml:space="preserve">Excellent</x:t>
        </x:is>
      </x:c>
      <x:c r="I9" s="13" t="inlineStr">
        <x:is>
          <x:t xml:space="preserve">$55.9K–$88.4K</x:t>
        </x:is>
      </x:c>
      <x:c r="J9" s="72" t="inlineStr">
        <x:is>
          <x:t xml:space="preserve">Apply →</x:t>
        </x:is>
      </x:c>
      <x:c r="K9" s="72" t="inlineStr">
        <x:is>
          <x:t xml:space="preserve">https://recruiting.paylocity.com/recruiting/jobs/Details/4503952/Binary-Defense/Tier-1-SOC-Analyst---REMOTE</x:t>
        </x:is>
      </x:c>
      <x:c r="L9" s="13" t="inlineStr">
        <x:is>
          <x:t xml:space="preserve">2026-10-26</x:t>
        </x:is>
      </x:c>
      <x:c r="M9" s="13" t="str">
        <x:f>'All Direct Jobs'!M10</x:f>
        <x:v>Not Applied</x:v>
      </x:c>
      <x:c r="N9" s="13" t="str">
        <x:f>IF('All Direct Jobs'!N10="","",'All Direct Jobs'!N10)</x:f>
      </x:c>
      <x:c r="O9" s="13" t="str">
        <x:f>IF('All Direct Jobs'!O10="","",'All Direct Jobs'!O10)</x:f>
      </x:c>
    </x:row>
    <x:row r="10">
      <x:c r="A10" s="13" t="inlineStr">
        <x:is>
          <x:t xml:space="preserve">🔥 Apply First</x:t>
        </x:is>
      </x:c>
      <x:c r="B10" s="13" t="inlineStr">
        <x:is>
          <x:t xml:space="preserve">SailPoint</x:t>
        </x:is>
      </x:c>
      <x:c r="C10" s="13" t="inlineStr">
        <x:is>
          <x:t xml:space="preserve">Associate Security Software Engineer</x:t>
        </x:is>
      </x:c>
      <x:c r="D10" s="13" t="inlineStr">
        <x:is>
          <x:t xml:space="preserve">Security Engineering / IAM</x:t>
        </x:is>
      </x:c>
      <x:c r="E10" s="13" t="inlineStr">
        <x:is>
          <x:t xml:space="preserve">United States</x:t>
        </x:is>
      </x:c>
      <x:c r="F10" s="13" t="inlineStr">
        <x:is>
          <x:t xml:space="preserve">Associate</x:t>
        </x:is>
      </x:c>
      <x:c r="G10" s="13" t="inlineStr">
        <x:is>
          <x:t xml:space="preserve">Strong sponsor-profile employer; confirm exact requisition</x:t>
        </x:is>
      </x:c>
      <x:c r="H10" s="13" t="inlineStr">
        <x:is>
          <x:t xml:space="preserve">Excellent</x:t>
        </x:is>
      </x:c>
      <x:c r="I10" s="13" t="inlineStr">
        <x:is>
          <x:t xml:space="preserve">Not listed</x:t>
        </x:is>
      </x:c>
      <x:c r="J10" s="72" t="inlineStr">
        <x:is>
          <x:t xml:space="preserve">Apply →</x:t>
        </x:is>
      </x:c>
      <x:c r="K10" s="72" t="inlineStr">
        <x:is>
          <x:t xml:space="preserve">https://sailpoint.wd1.myworkdayjobs.com/en-US/SailPoint/job/Associate-Security-Software-Engineer_R013786</x:t>
        </x:is>
      </x:c>
      <x:c r="L10" s="13" t="inlineStr">
        <x:is>
          <x:t xml:space="preserve">2026-10-26</x:t>
        </x:is>
      </x:c>
      <x:c r="M10" s="13" t="str">
        <x:f>'All Direct Jobs'!M11</x:f>
        <x:v>Not Applied</x:v>
      </x:c>
      <x:c r="N10" s="13" t="str">
        <x:f>IF('All Direct Jobs'!N11="","",'All Direct Jobs'!N11)</x:f>
      </x:c>
      <x:c r="O10" s="13" t="str">
        <x:f>IF('All Direct Jobs'!O11="","",'All Direct Jobs'!O11)</x:f>
      </x:c>
    </x:row>
    <x:row r="11">
      <x:c r="A11" s="13" t="inlineStr">
        <x:is>
          <x:t xml:space="preserve">🔥 Apply First</x:t>
        </x:is>
      </x:c>
      <x:c r="B11" s="13" t="inlineStr">
        <x:is>
          <x:t xml:space="preserve">ID.me</x:t>
        </x:is>
      </x:c>
      <x:c r="C11" s="13" t="inlineStr">
        <x:is>
          <x:t xml:space="preserve">SOC Analyst</x:t>
        </x:is>
      </x:c>
      <x:c r="D11" s="13" t="inlineStr">
        <x:is>
          <x:t xml:space="preserve">SOC / Detection</x:t>
        </x:is>
      </x:c>
      <x:c r="E11" s="13" t="inlineStr">
        <x:is>
          <x:t xml:space="preserve">McLean, VA</x:t>
        </x:is>
      </x:c>
      <x:c r="F11" s="13" t="inlineStr">
        <x:is>
          <x:t xml:space="preserve">Early career</x:t>
        </x:is>
      </x:c>
      <x:c r="G11" s="13" t="inlineStr">
        <x:is>
          <x:t xml:space="preserve">Sponsor-capable tech employer; role-level confirmation needed</x:t>
        </x:is>
      </x:c>
      <x:c r="H11" s="13" t="inlineStr">
        <x:is>
          <x:t xml:space="preserve">Excellent</x:t>
        </x:is>
      </x:c>
      <x:c r="I11" s="13" t="inlineStr">
        <x:is>
          <x:t xml:space="preserve">Not listed</x:t>
        </x:is>
      </x:c>
      <x:c r="J11" s="72" t="inlineStr">
        <x:is>
          <x:t xml:space="preserve">Apply →</x:t>
        </x:is>
      </x:c>
      <x:c r="K11" s="72" t="inlineStr">
        <x:is>
          <x:t xml:space="preserve">https://job-boards.greenhouse.io/idme/jobs/7808011003</x:t>
        </x:is>
      </x:c>
      <x:c r="L11" s="13" t="inlineStr">
        <x:is>
          <x:t xml:space="preserve">2026-10-26</x:t>
        </x:is>
      </x:c>
      <x:c r="M11" s="13" t="str">
        <x:f>'All Direct Jobs'!M13</x:f>
        <x:v>Not Applied</x:v>
      </x:c>
      <x:c r="N11" s="13" t="str">
        <x:f>IF('All Direct Jobs'!N13="","",'All Direct Jobs'!N13)</x:f>
      </x:c>
      <x:c r="O11" s="13" t="str">
        <x:f>IF('All Direct Jobs'!O13="","",'All Direct Jobs'!O13)</x:f>
      </x:c>
    </x:row>
    <x:row r="12">
      <x:c r="A12" s="13" t="inlineStr">
        <x:is>
          <x:t xml:space="preserve">🔥 Apply First</x:t>
        </x:is>
      </x:c>
      <x:c r="B12" s="13" t="inlineStr">
        <x:is>
          <x:t xml:space="preserve">1Password</x:t>
        </x:is>
      </x:c>
      <x:c r="C12" s="13" t="inlineStr">
        <x:is>
          <x:t xml:space="preserve">Security Intern, Threat Operations - Winter 2027</x:t>
        </x:is>
      </x:c>
      <x:c r="D12" s="13" t="inlineStr">
        <x:is>
          <x:t xml:space="preserve">Threat Operations / IR</x:t>
        </x:is>
      </x:c>
      <x:c r="E12" s="13" t="inlineStr">
        <x:is>
          <x:t xml:space="preserve">Remote US / Canada</x:t>
        </x:is>
      </x:c>
      <x:c r="F12" s="13" t="inlineStr">
        <x:is>
          <x:t xml:space="preserve">Winter 2027 Intern</x:t>
        </x:is>
      </x:c>
      <x:c r="G12" s="13" t="inlineStr">
        <x:is>
          <x:t xml:space="preserve">CPT/work authorization must be confirmed; no explicit blocker surfaced</x:t>
        </x:is>
      </x:c>
      <x:c r="H12" s="13" t="inlineStr">
        <x:is>
          <x:t xml:space="preserve">Excellent</x:t>
        </x:is>
      </x:c>
      <x:c r="I12" s="13" t="inlineStr">
        <x:is>
          <x:t xml:space="preserve">Not listed</x:t>
        </x:is>
      </x:c>
      <x:c r="J12" s="72" t="inlineStr">
        <x:is>
          <x:t xml:space="preserve">Apply →</x:t>
        </x:is>
      </x:c>
      <x:c r="K12" s="72" t="inlineStr">
        <x:is>
          <x:t xml:space="preserve">https://jobs.ashbyhq.com/1password/aac7eea6-ed7c-4871-bbf2-7cb2d5138847</x:t>
        </x:is>
      </x:c>
      <x:c r="L12" s="13" t="inlineStr">
        <x:is>
          <x:t xml:space="preserve">2026-10-26</x:t>
        </x:is>
      </x:c>
      <x:c r="M12" s="13" t="str">
        <x:f>'All Direct Jobs'!M29</x:f>
        <x:v>Not Applied</x:v>
      </x:c>
      <x:c r="N12" s="13" t="str">
        <x:f>IF('All Direct Jobs'!N29="","",'All Direct Jobs'!N29)</x:f>
      </x:c>
      <x:c r="O12" s="13" t="str">
        <x:f>IF('All Direct Jobs'!O29="","",'All Direct Jobs'!O29)</x:f>
      </x:c>
    </x:row>
    <x:row r="13">
      <x:c r="A13" s="13" t="inlineStr">
        <x:is>
          <x:t xml:space="preserve">🔥 Apply First</x:t>
        </x:is>
      </x:c>
      <x:c r="B13" s="13" t="inlineStr">
        <x:is>
          <x:t xml:space="preserve">Ciena</x:t>
        </x:is>
      </x:c>
      <x:c r="C13" s="13" t="inlineStr">
        <x:is>
          <x:t xml:space="preserve">Software Engineer (Security) - Intern (Winter 2027)</x:t>
        </x:is>
      </x:c>
      <x:c r="D13" s="13" t="inlineStr">
        <x:is>
          <x:t xml:space="preserve">Product / Network Security</x:t>
        </x:is>
      </x:c>
      <x:c r="E13" s="13" t="inlineStr">
        <x:is>
          <x:t xml:space="preserve">Atlanta, GA</x:t>
        </x:is>
      </x:c>
      <x:c r="F13" s="13" t="inlineStr">
        <x:is>
          <x:t xml:space="preserve">Winter 2027 Intern</x:t>
        </x:is>
      </x:c>
      <x:c r="G13" s="13" t="inlineStr">
        <x:is>
          <x:t xml:space="preserve">CPT eligibility must be confirmed; no explicit sponsorship prohibition found</x:t>
        </x:is>
      </x:c>
      <x:c r="H13" s="13" t="inlineStr">
        <x:is>
          <x:t xml:space="preserve">Excellent</x:t>
        </x:is>
      </x:c>
      <x:c r="I13" s="13" t="inlineStr">
        <x:is>
          <x:t xml:space="preserve">Not listed</x:t>
        </x:is>
      </x:c>
      <x:c r="J13" s="72" t="inlineStr">
        <x:is>
          <x:t xml:space="preserve">Apply →</x:t>
        </x:is>
      </x:c>
      <x:c r="K13" s="72" t="inlineStr">
        <x:is>
          <x:t xml:space="preserve">https://ciena.wd5.myworkdayjobs.com/careers/job/Atlanta/Software-Engineer--Security----Intern--Winter-2027-_R031926</x:t>
        </x:is>
      </x:c>
      <x:c r="L13" s="13" t="inlineStr">
        <x:is>
          <x:t xml:space="preserve">2026-10-26</x:t>
        </x:is>
      </x:c>
      <x:c r="M13" s="13" t="str">
        <x:f>'All Direct Jobs'!M32</x:f>
        <x:v>Not Applied</x:v>
      </x:c>
      <x:c r="N13" s="13" t="str">
        <x:f>IF('All Direct Jobs'!N32="","",'All Direct Jobs'!N32)</x:f>
      </x:c>
      <x:c r="O13" s="13" t="str">
        <x:f>IF('All Direct Jobs'!O32="","",'All Direct Jobs'!O32)</x:f>
      </x:c>
    </x:row>
    <x:row r="14">
      <x:c r="A14" s="13" t="inlineStr">
        <x:is>
          <x:t xml:space="preserve">🔥 Apply First</x:t>
        </x:is>
      </x:c>
      <x:c r="B14" s="13" t="inlineStr">
        <x:is>
          <x:t xml:space="preserve">Georgia Tech Research Institute</x:t>
        </x:is>
      </x:c>
      <x:c r="C14" s="13" t="inlineStr">
        <x:is>
          <x:t xml:space="preserve">General Cybersecurity Graduate Intern - CIPHER - Spring 2027</x:t>
        </x:is>
      </x:c>
      <x:c r="D14" s="13" t="inlineStr">
        <x:is>
          <x:t xml:space="preserve">Cybersecurity Research</x:t>
        </x:is>
      </x:c>
      <x:c r="E14" s="13" t="inlineStr">
        <x:is>
          <x:t xml:space="preserve">Atlanta, GA</x:t>
        </x:is>
      </x:c>
      <x:c r="F14" s="13" t="inlineStr">
        <x:is>
          <x:t xml:space="preserve">Spring 2027 Graduate Intern</x:t>
        </x:is>
      </x:c>
      <x:c r="G14" s="13" t="inlineStr">
        <x:is>
          <x:t xml:space="preserve">No U.S. citizenship requirement / no clearance requirement on posting</x:t>
        </x:is>
      </x:c>
      <x:c r="H14" s="13" t="inlineStr">
        <x:is>
          <x:t xml:space="preserve">Excellent</x:t>
        </x:is>
      </x:c>
      <x:c r="I14" s="13" t="inlineStr">
        <x:is>
          <x:t xml:space="preserve">Not listed</x:t>
        </x:is>
      </x:c>
      <x:c r="J14" s="72" t="inlineStr">
        <x:is>
          <x:t xml:space="preserve">Apply →</x:t>
        </x:is>
      </x:c>
      <x:c r="K14" s="72" t="inlineStr">
        <x:is>
          <x:t xml:space="preserve">https://careers.gtri.gatech.edu/jobs/general-cybersecurity-graduate-intern-cipher-spring-2027-atlanta-georgia-united-states</x:t>
        </x:is>
      </x:c>
      <x:c r="L14" s="13" t="inlineStr">
        <x:is>
          <x:t xml:space="preserve">2026-10-26</x:t>
        </x:is>
      </x:c>
      <x:c r="M14" s="13" t="str">
        <x:f>'All Direct Jobs'!M33</x:f>
        <x:v>Not Applied</x:v>
      </x:c>
      <x:c r="N14" s="13" t="str">
        <x:f>IF('All Direct Jobs'!N33="","",'All Direct Jobs'!N33)</x:f>
      </x:c>
      <x:c r="O14" s="13" t="str">
        <x:f>IF('All Direct Jobs'!O33="","",'All Direct Jobs'!O33)</x:f>
      </x:c>
    </x:row>
    <x:row r="15">
      <x:c r="A15" s="13" t="inlineStr">
        <x:is>
          <x:t xml:space="preserve">🔥 Apply First</x:t>
        </x:is>
      </x:c>
      <x:c r="B15" s="13" t="inlineStr">
        <x:is>
          <x:t xml:space="preserve">Snowflake</x:t>
        </x:is>
      </x:c>
      <x:c r="C15" s="13" t="inlineStr">
        <x:is>
          <x:t xml:space="preserve">Security Incident Response Engineer</x:t>
        </x:is>
      </x:c>
      <x:c r="D15" s="13" t="inlineStr">
        <x:is>
          <x:t xml:space="preserve">Incident Response / SecOps</x:t>
        </x:is>
      </x:c>
      <x:c r="E15" s="13" t="inlineStr">
        <x:is>
          <x:t xml:space="preserve">California / Bay Area</x:t>
        </x:is>
      </x:c>
      <x:c r="F15" s="13" t="inlineStr">
        <x:is>
          <x:t xml:space="preserve">2+ years preferred</x:t>
        </x:is>
      </x:c>
      <x:c r="G15" s="13" t="inlineStr">
        <x:is>
          <x:t xml:space="preserve">Strong sponsor-profile employer; exact role sponsorship not guaranteed</x:t>
        </x:is>
      </x:c>
      <x:c r="H15" s="13" t="inlineStr">
        <x:is>
          <x:t xml:space="preserve">Excellent</x:t>
        </x:is>
      </x:c>
      <x:c r="I15" s="13" t="inlineStr">
        <x:is>
          <x:t xml:space="preserve">$143K–$205.8K</x:t>
        </x:is>
      </x:c>
      <x:c r="J15" s="72" t="inlineStr">
        <x:is>
          <x:t xml:space="preserve">Apply →</x:t>
        </x:is>
      </x:c>
      <x:c r="K15" s="72" t="inlineStr">
        <x:is>
          <x:t xml:space="preserve">https://careers.snowflake.com/us/en/job/7139a002-dbe3-4693-8cbc-5b780db1d29d/Incident-Response-Engineer</x:t>
        </x:is>
      </x:c>
      <x:c r="L15" s="13" t="inlineStr">
        <x:is>
          <x:t xml:space="preserve">2026-10-26</x:t>
        </x:is>
      </x:c>
      <x:c r="M15" s="13" t="str">
        <x:f>'All Direct Jobs'!M36</x:f>
        <x:v>Not Applied</x:v>
      </x:c>
      <x:c r="N15" s="13" t="str">
        <x:f>IF('All Direct Jobs'!N36="","",'All Direct Jobs'!N36)</x:f>
      </x:c>
      <x:c r="O15" s="13" t="str">
        <x:f>IF('All Direct Jobs'!O36="","",'All Direct Jobs'!O36)</x:f>
      </x:c>
    </x:row>
    <x:row r="16">
      <x:c r="A16" s="13" t="inlineStr">
        <x:is>
          <x:t xml:space="preserve">🔥 Apply First</x:t>
        </x:is>
      </x:c>
      <x:c r="B16" s="13" t="inlineStr">
        <x:is>
          <x:t xml:space="preserve">Google</x:t>
        </x:is>
      </x:c>
      <x:c r="C16" s="13" t="inlineStr">
        <x:is>
          <x:t xml:space="preserve">Cyber Defense Detection Engineer, Mandiant, Google Cloud</x:t>
        </x:is>
      </x:c>
      <x:c r="D16" s="13" t="inlineStr">
        <x:is>
          <x:t xml:space="preserve">Detection Engineering / SIEM</x:t>
        </x:is>
      </x:c>
      <x:c r="E16" s="13" t="inlineStr">
        <x:is>
          <x:t xml:space="preserve">Remote US / Ohio</x:t>
        </x:is>
      </x:c>
      <x:c r="F16" s="13" t="inlineStr">
        <x:is>
          <x:t xml:space="preserve">3+ years</x:t>
        </x:is>
      </x:c>
      <x:c r="G16" s="13" t="inlineStr">
        <x:is>
          <x:t xml:space="preserve">Very strong H-1B sponsor-profile employer</x:t>
        </x:is>
      </x:c>
      <x:c r="H16" s="13" t="inlineStr">
        <x:is>
          <x:t xml:space="preserve">Excellent</x:t>
        </x:is>
      </x:c>
      <x:c r="I16" s="13" t="inlineStr">
        <x:is>
          <x:t xml:space="preserve">$112K–$161K</x:t>
        </x:is>
      </x:c>
      <x:c r="J16" s="72" t="inlineStr">
        <x:is>
          <x:t xml:space="preserve">Apply →</x:t>
        </x:is>
      </x:c>
      <x:c r="K16" s="72" t="inlineStr">
        <x:is>
          <x:t xml:space="preserve">https://www.google.com/about/careers/applications/jobs/results/87068925161808582-cyber-defense-detection-engineer-mandiant-google-cloud</x:t>
        </x:is>
      </x:c>
      <x:c r="L16" s="13" t="inlineStr">
        <x:is>
          <x:t xml:space="preserve">2026-10-26</x:t>
        </x:is>
      </x:c>
      <x:c r="M16" s="13" t="str">
        <x:f>'All Direct Jobs'!M37</x:f>
        <x:v>Not Applied</x:v>
      </x:c>
      <x:c r="N16" s="13" t="str">
        <x:f>IF('All Direct Jobs'!N37="","",'All Direct Jobs'!N37)</x:f>
      </x:c>
      <x:c r="O16" s="13" t="str">
        <x:f>IF('All Direct Jobs'!O37="","",'All Direct Jobs'!O37)</x:f>
      </x:c>
    </x:row>
    <x:row r="17">
      <x:c r="A17" s="13" t="inlineStr">
        <x:is>
          <x:t xml:space="preserve">🔥 Apply First</x:t>
        </x:is>
      </x:c>
      <x:c r="B17" s="13" t="inlineStr">
        <x:is>
          <x:t xml:space="preserve">Google</x:t>
        </x:is>
      </x:c>
      <x:c r="C17" s="13" t="inlineStr">
        <x:is>
          <x:t xml:space="preserve">Security Engineer II, Core, Enterprise Access Security Engineering</x:t>
        </x:is>
      </x:c>
      <x:c r="D17" s="13" t="inlineStr">
        <x:is>
          <x:t xml:space="preserve">Security Engineering / IAM</x:t>
        </x:is>
      </x:c>
      <x:c r="E17" s="13" t="inlineStr">
        <x:is>
          <x:t xml:space="preserve">San Jose, CA</x:t>
        </x:is>
      </x:c>
      <x:c r="F17" s="13" t="inlineStr">
        <x:is>
          <x:t xml:space="preserve">1+ year</x:t>
        </x:is>
      </x:c>
      <x:c r="G17" s="13" t="inlineStr">
        <x:is>
          <x:t xml:space="preserve">Very strong H-1B sponsor-profile employer</x:t>
        </x:is>
      </x:c>
      <x:c r="H17" s="13" t="inlineStr">
        <x:is>
          <x:t xml:space="preserve">Excellent</x:t>
        </x:is>
      </x:c>
      <x:c r="I17" s="13" t="inlineStr">
        <x:is>
          <x:t xml:space="preserve">$123K–$174K</x:t>
        </x:is>
      </x:c>
      <x:c r="J17" s="72" t="inlineStr">
        <x:is>
          <x:t xml:space="preserve">Apply →</x:t>
        </x:is>
      </x:c>
      <x:c r="K17" s="72" t="inlineStr">
        <x:is>
          <x:t xml:space="preserve">https://www.google.com/about/careers/applications/jobs/results/125813288268112582-security-engineer-ii-core-enterprise-access-security-engineering</x:t>
        </x:is>
      </x:c>
      <x:c r="L17" s="13" t="inlineStr">
        <x:is>
          <x:t xml:space="preserve">2026-10-26</x:t>
        </x:is>
      </x:c>
      <x:c r="M17" s="13" t="str">
        <x:f>'All Direct Jobs'!M38</x:f>
        <x:v>Not Applied</x:v>
      </x:c>
      <x:c r="N17" s="13" t="str">
        <x:f>IF('All Direct Jobs'!N38="","",'All Direct Jobs'!N38)</x:f>
      </x:c>
      <x:c r="O17" s="13" t="str">
        <x:f>IF('All Direct Jobs'!O38="","",'All Direct Jobs'!O38)</x:f>
      </x:c>
    </x:row>
    <x:row r="18">
      <x:c r="A18" s="13" t="inlineStr">
        <x:is>
          <x:t xml:space="preserve">🔥 Apply First</x:t>
        </x:is>
      </x:c>
      <x:c r="B18" s="13" t="inlineStr">
        <x:is>
          <x:t xml:space="preserve">Google</x:t>
        </x:is>
      </x:c>
      <x:c r="C18" s="13" t="inlineStr">
        <x:is>
          <x:t xml:space="preserve">Security Engineer III, Cloud Security Controls</x:t>
        </x:is>
      </x:c>
      <x:c r="D18" s="13" t="inlineStr">
        <x:is>
          <x:t xml:space="preserve">Cloud Security</x:t>
        </x:is>
      </x:c>
      <x:c r="E18" s="13" t="inlineStr">
        <x:is>
          <x:t xml:space="preserve">New York, NY / San Jose, CA</x:t>
        </x:is>
      </x:c>
      <x:c r="F18" s="13" t="inlineStr">
        <x:is>
          <x:t xml:space="preserve">2+ years</x:t>
        </x:is>
      </x:c>
      <x:c r="G18" s="13" t="inlineStr">
        <x:is>
          <x:t xml:space="preserve">Very strong H-1B sponsor-profile employer</x:t>
        </x:is>
      </x:c>
      <x:c r="H18" s="13" t="inlineStr">
        <x:is>
          <x:t xml:space="preserve">Excellent</x:t>
        </x:is>
      </x:c>
      <x:c r="I18" s="13" t="inlineStr">
        <x:is>
          <x:t xml:space="preserve">Not listed</x:t>
        </x:is>
      </x:c>
      <x:c r="J18" s="72" t="inlineStr">
        <x:is>
          <x:t xml:space="preserve">Apply →</x:t>
        </x:is>
      </x:c>
      <x:c r="K18" s="72" t="inlineStr">
        <x:is>
          <x:t xml:space="preserve">https://www.google.com/about/careers/applications/jobs/results/136535844847526598-security-engineer-iii-cloud-security-controls</x:t>
        </x:is>
      </x:c>
      <x:c r="L18" s="13" t="inlineStr">
        <x:is>
          <x:t xml:space="preserve">2026-10-26</x:t>
        </x:is>
      </x:c>
      <x:c r="M18" s="13" t="str">
        <x:f>'All Direct Jobs'!M39</x:f>
        <x:v>Not Applied</x:v>
      </x:c>
      <x:c r="N18" s="13" t="str">
        <x:f>IF('All Direct Jobs'!N39="","",'All Direct Jobs'!N39)</x:f>
      </x:c>
      <x:c r="O18" s="13" t="str">
        <x:f>IF('All Direct Jobs'!O39="","",'All Direct Jobs'!O39)</x:f>
      </x:c>
    </x:row>
    <x:row r="19">
      <x:c r="A19" s="13" t="inlineStr">
        <x:is>
          <x:t xml:space="preserve">🔥 Apply First</x:t>
        </x:is>
      </x:c>
      <x:c r="B19" s="13" t="inlineStr">
        <x:is>
          <x:t xml:space="preserve">Travelers</x:t>
        </x:is>
      </x:c>
      <x:c r="C19" s="13" t="inlineStr">
        <x:is>
          <x:t xml:space="preserve">Cybersecurity Ops Technologist I - Splunk SIEM Engineer</x:t>
        </x:is>
      </x:c>
      <x:c r="D19" s="13" t="inlineStr">
        <x:is>
          <x:t xml:space="preserve">SIEM / Detection</x:t>
        </x:is>
      </x:c>
      <x:c r="E19" s="13" t="inlineStr">
        <x:is>
          <x:t xml:space="preserve">Atlanta, GA</x:t>
        </x:is>
      </x:c>
      <x:c r="F19" s="13" t="inlineStr">
        <x:is>
          <x:t xml:space="preserve">2+ years</x:t>
        </x:is>
      </x:c>
      <x:c r="G19" s="13" t="inlineStr">
        <x:is>
          <x:t xml:space="preserve">No explicit no-sponsorship statement surfaced; exact-role verification recommended</x:t>
        </x:is>
      </x:c>
      <x:c r="H19" s="13" t="inlineStr">
        <x:is>
          <x:t xml:space="preserve">Excellent</x:t>
        </x:is>
      </x:c>
      <x:c r="I19" s="13" t="inlineStr">
        <x:is>
          <x:t xml:space="preserve">$99.1K–$163.4K</x:t>
        </x:is>
      </x:c>
      <x:c r="J19" s="72" t="inlineStr">
        <x:is>
          <x:t xml:space="preserve">Apply →</x:t>
        </x:is>
      </x:c>
      <x:c r="K19" s="72" t="inlineStr">
        <x:is>
          <x:t xml:space="preserve">https://travelers.wd5.myworkdayjobs.com/External/job/CT---Hartford/Cybersecurity-Ops-Technologist---Splunk-SIEM-Engineer_R-51597</x:t>
        </x:is>
      </x:c>
      <x:c r="L19" s="13" t="inlineStr">
        <x:is>
          <x:t xml:space="preserve">2026-10-26</x:t>
        </x:is>
      </x:c>
      <x:c r="M19" s="13" t="str">
        <x:f>'All Direct Jobs'!M40</x:f>
        <x:v>Not Applied</x:v>
      </x:c>
      <x:c r="N19" s="13" t="str">
        <x:f>IF('All Direct Jobs'!N40="","",'All Direct Jobs'!N40)</x:f>
      </x:c>
      <x:c r="O19" s="13" t="str">
        <x:f>IF('All Direct Jobs'!O40="","",'All Direct Jobs'!O40)</x:f>
      </x:c>
    </x:row>
    <x:row r="20">
      <x:c r="A20" s="13" t="inlineStr">
        <x:is>
          <x:t xml:space="preserve">🔥 Apply First</x:t>
        </x:is>
      </x:c>
      <x:c r="B20" s="13" t="inlineStr">
        <x:is>
          <x:t xml:space="preserve">Axon</x:t>
        </x:is>
      </x:c>
      <x:c r="C20" s="13" t="inlineStr">
        <x:is>
          <x:t xml:space="preserve">Security Operations Engineer II</x:t>
        </x:is>
      </x:c>
      <x:c r="D20" s="13" t="inlineStr">
        <x:is>
          <x:t xml:space="preserve">Security Operations / Automation</x:t>
        </x:is>
      </x:c>
      <x:c r="E20" s="13" t="inlineStr">
        <x:is>
          <x:t xml:space="preserve">Scottsdale, AZ / Washington</x:t>
        </x:is>
      </x:c>
      <x:c r="F20" s="13" t="inlineStr">
        <x:is>
          <x:t xml:space="preserve">2+ years</x:t>
        </x:is>
      </x:c>
      <x:c r="G20" s="13" t="inlineStr">
        <x:is>
          <x:t xml:space="preserve">Posting says sponsorship decisions are discretionary; possible but not guaranteed</x:t>
        </x:is>
      </x:c>
      <x:c r="H20" s="13" t="inlineStr">
        <x:is>
          <x:t xml:space="preserve">Excellent</x:t>
        </x:is>
      </x:c>
      <x:c r="I20" s="13" t="inlineStr">
        <x:is>
          <x:t xml:space="preserve">$96K–$153.6K</x:t>
        </x:is>
      </x:c>
      <x:c r="J20" s="72" t="inlineStr">
        <x:is>
          <x:t xml:space="preserve">Apply →</x:t>
        </x:is>
      </x:c>
      <x:c r="K20" s="72" t="inlineStr">
        <x:is>
          <x:t xml:space="preserve">https://job-boards.greenhouse.io/axon/jobs/8033215003</x:t>
        </x:is>
      </x:c>
      <x:c r="L20" s="13" t="inlineStr">
        <x:is>
          <x:t xml:space="preserve">2026-10-26</x:t>
        </x:is>
      </x:c>
      <x:c r="M20" s="13" t="str">
        <x:f>'All Direct Jobs'!M41</x:f>
        <x:v>Not Applied</x:v>
      </x:c>
      <x:c r="N20" s="13" t="str">
        <x:f>IF('All Direct Jobs'!N41="","",'All Direct Jobs'!N41)</x:f>
      </x:c>
      <x:c r="O20" s="13" t="str">
        <x:f>IF('All Direct Jobs'!O41="","",'All Direct Jobs'!O41)</x:f>
      </x:c>
    </x:row>
    <x:row r="21">
      <x:c r="A21" s="13" t="inlineStr">
        <x:is>
          <x:t xml:space="preserve">🔥 Apply First</x:t>
        </x:is>
      </x:c>
      <x:c r="B21" s="13" t="inlineStr">
        <x:is>
          <x:t xml:space="preserve">Amazon / AWS</x:t>
        </x:is>
      </x:c>
      <x:c r="C21" s="13" t="inlineStr">
        <x:is>
          <x:t xml:space="preserve">Application Security Engineer</x:t>
        </x:is>
      </x:c>
      <x:c r="D21" s="13" t="inlineStr">
        <x:is>
          <x:t xml:space="preserve">Application Security</x:t>
        </x:is>
      </x:c>
      <x:c r="E21" s="13" t="inlineStr">
        <x:is>
          <x:t xml:space="preserve">Arlington, VA</x:t>
        </x:is>
      </x:c>
      <x:c r="F21" s="13" t="inlineStr">
        <x:is>
          <x:t xml:space="preserve">2+ years</x:t>
        </x:is>
      </x:c>
      <x:c r="G21" s="13" t="inlineStr">
        <x:is>
          <x:t xml:space="preserve">Very strong H-1B sponsor-profile employer</x:t>
        </x:is>
      </x:c>
      <x:c r="H21" s="13" t="inlineStr">
        <x:is>
          <x:t xml:space="preserve">Excellent</x:t>
        </x:is>
      </x:c>
      <x:c r="I21" s="13" t="inlineStr">
        <x:is>
          <x:t xml:space="preserve">$159.3K–$202.4K</x:t>
        </x:is>
      </x:c>
      <x:c r="J21" s="72" t="inlineStr">
        <x:is>
          <x:t xml:space="preserve">Apply →</x:t>
        </x:is>
      </x:c>
      <x:c r="K21" s="72" t="inlineStr">
        <x:is>
          <x:t xml:space="preserve">https://www.amazon.jobs/en/jobs/10568241/application-security-engineer</x:t>
        </x:is>
      </x:c>
      <x:c r="L21" s="13" t="inlineStr">
        <x:is>
          <x:t xml:space="preserve">2026-10-26</x:t>
        </x:is>
      </x:c>
      <x:c r="M21" s="13" t="str">
        <x:f>'All Direct Jobs'!M43</x:f>
        <x:v>Not Applied</x:v>
      </x:c>
      <x:c r="N21" s="13" t="str">
        <x:f>IF('All Direct Jobs'!N43="","",'All Direct Jobs'!N43)</x:f>
      </x:c>
      <x:c r="O21" s="13" t="str">
        <x:f>IF('All Direct Jobs'!O43="","",'All Direct Jobs'!O43)</x:f>
      </x:c>
    </x:row>
    <x:row r="22">
      <x:c r="A22" s="13" t="inlineStr">
        <x:is>
          <x:t xml:space="preserve">🔥 Apply First</x:t>
        </x:is>
      </x:c>
      <x:c r="B22" s="13" t="inlineStr">
        <x:is>
          <x:t xml:space="preserve">Amazon / AWS</x:t>
        </x:is>
      </x:c>
      <x:c r="C22" s="13" t="inlineStr">
        <x:is>
          <x:t xml:space="preserve">Security Engineer II, Amazon GuardDuty</x:t>
        </x:is>
      </x:c>
      <x:c r="D22" s="13" t="inlineStr">
        <x:is>
          <x:t xml:space="preserve">Threat Detection / Cloud Security</x:t>
        </x:is>
      </x:c>
      <x:c r="E22" s="13" t="inlineStr">
        <x:is>
          <x:t xml:space="preserve">Seattle, WA / New York, NY</x:t>
        </x:is>
      </x:c>
      <x:c r="F22" s="13" t="inlineStr">
        <x:is>
          <x:t xml:space="preserve">2+ years IT security accepted</x:t>
        </x:is>
      </x:c>
      <x:c r="G22" s="13" t="inlineStr">
        <x:is>
          <x:t xml:space="preserve">Very strong H-1B sponsor-profile employer</x:t>
        </x:is>
      </x:c>
      <x:c r="H22" s="13" t="inlineStr">
        <x:is>
          <x:t xml:space="preserve">Excellent</x:t>
        </x:is>
      </x:c>
      <x:c r="I22" s="13" t="inlineStr">
        <x:is>
          <x:t xml:space="preserve">$159.3K–$212.8K</x:t>
        </x:is>
      </x:c>
      <x:c r="J22" s="72" t="inlineStr">
        <x:is>
          <x:t xml:space="preserve">Apply →</x:t>
        </x:is>
      </x:c>
      <x:c r="K22" s="72" t="inlineStr">
        <x:is>
          <x:t xml:space="preserve">https://amazon.jobs/en/jobs/10537429/security-engineer-ii-amazon-guardduty</x:t>
        </x:is>
      </x:c>
      <x:c r="L22" s="13" t="inlineStr">
        <x:is>
          <x:t xml:space="preserve">2026-10-26</x:t>
        </x:is>
      </x:c>
      <x:c r="M22" s="13" t="str">
        <x:f>'All Direct Jobs'!M46</x:f>
        <x:v>Not Applied</x:v>
      </x:c>
      <x:c r="N22" s="13" t="str">
        <x:f>IF('All Direct Jobs'!N46="","",'All Direct Jobs'!N46)</x:f>
      </x:c>
      <x:c r="O22" s="13" t="str">
        <x:f>IF('All Direct Jobs'!O46="","",'All Direct Jobs'!O46)</x:f>
      </x:c>
    </x:row>
    <x:row r="23">
      <x:c r="A23" s="13" t="inlineStr">
        <x:is>
          <x:t xml:space="preserve">🔥 Apply First</x:t>
        </x:is>
      </x:c>
      <x:c r="B23" s="13" t="inlineStr">
        <x:is>
          <x:t xml:space="preserve">Amazon</x:t>
        </x:is>
      </x:c>
      <x:c r="C23" s="13" t="inlineStr">
        <x:is>
          <x:t xml:space="preserve">Security Engineer II, Security Incident Response Team (SIRT)</x:t>
        </x:is>
      </x:c>
      <x:c r="D23" s="13" t="inlineStr">
        <x:is>
          <x:t xml:space="preserve">Incident Response</x:t>
        </x:is>
      </x:c>
      <x:c r="E23" s="13" t="inlineStr">
        <x:is>
          <x:t xml:space="preserve">United States</x:t>
        </x:is>
      </x:c>
      <x:c r="F23" s="13" t="inlineStr">
        <x:is>
          <x:t xml:space="preserve">Mid-career; diverse experience encouraged</x:t>
        </x:is>
      </x:c>
      <x:c r="G23" s="13" t="inlineStr">
        <x:is>
          <x:t xml:space="preserve">Very strong H-1B sponsor-profile employer</x:t>
        </x:is>
      </x:c>
      <x:c r="H23" s="13" t="inlineStr">
        <x:is>
          <x:t xml:space="preserve">Excellent</x:t>
        </x:is>
      </x:c>
      <x:c r="I23" s="13" t="inlineStr">
        <x:is>
          <x:t xml:space="preserve">Not listed</x:t>
        </x:is>
      </x:c>
      <x:c r="J23" s="72" t="inlineStr">
        <x:is>
          <x:t xml:space="preserve">Apply →</x:t>
        </x:is>
      </x:c>
      <x:c r="K23" s="72" t="inlineStr">
        <x:is>
          <x:t xml:space="preserve">https://www.amazon.jobs/en/jobs/10471418/security-engineer-ii-security-incident-response-team-sirt</x:t>
        </x:is>
      </x:c>
      <x:c r="L23" s="13" t="inlineStr">
        <x:is>
          <x:t xml:space="preserve">2026-10-26</x:t>
        </x:is>
      </x:c>
      <x:c r="M23" s="13" t="str">
        <x:f>'All Direct Jobs'!M48</x:f>
        <x:v>Not Applied</x:v>
      </x:c>
      <x:c r="N23" s="13" t="str">
        <x:f>IF('All Direct Jobs'!N48="","",'All Direct Jobs'!N48)</x:f>
      </x:c>
      <x:c r="O23" s="13" t="str">
        <x:f>IF('All Direct Jobs'!O48="","",'All Direct Jobs'!O48)</x:f>
      </x:c>
    </x:row>
    <x:row r="24">
      <x:c r="A24" s="13" t="inlineStr">
        <x:is>
          <x:t xml:space="preserve">🔥 Apply First</x:t>
        </x:is>
      </x:c>
      <x:c r="B24" s="13" t="inlineStr">
        <x:is>
          <x:t xml:space="preserve">DoorDash</x:t>
        </x:is>
      </x:c>
      <x:c r="C24" s="13" t="inlineStr">
        <x:is>
          <x:t xml:space="preserve">Detection Engineer - Protective Services</x:t>
        </x:is>
      </x:c>
      <x:c r="D24" s="13" t="inlineStr">
        <x:is>
          <x:t xml:space="preserve">Detection Engineering / Threat Hunting</x:t>
        </x:is>
      </x:c>
      <x:c r="E24" s="13" t="inlineStr">
        <x:is>
          <x:t xml:space="preserve">Remote US</x:t>
        </x:is>
      </x:c>
      <x:c r="F24" s="13" t="inlineStr">
        <x:is>
          <x:t xml:space="preserve">3+ years</x:t>
        </x:is>
      </x:c>
      <x:c r="G24" s="13" t="inlineStr">
        <x:is>
          <x:t xml:space="preserve">Strong sponsor-profile employer; exact-role confirmation recommended</x:t>
        </x:is>
      </x:c>
      <x:c r="H24" s="13" t="inlineStr">
        <x:is>
          <x:t xml:space="preserve">Excellent</x:t>
        </x:is>
      </x:c>
      <x:c r="I24" s="13" t="inlineStr">
        <x:is>
          <x:t xml:space="preserve">$130.6K–$192K</x:t>
        </x:is>
      </x:c>
      <x:c r="J24" s="72" t="inlineStr">
        <x:is>
          <x:t xml:space="preserve">Apply →</x:t>
        </x:is>
      </x:c>
      <x:c r="K24" s="72" t="inlineStr">
        <x:is>
          <x:t xml:space="preserve">https://job-boards.greenhouse.io/doordashusa/jobs/8237701-2</x:t>
        </x:is>
      </x:c>
      <x:c r="L24" s="13" t="inlineStr">
        <x:is>
          <x:t xml:space="preserve">2026-10-26</x:t>
        </x:is>
      </x:c>
      <x:c r="M24" s="13" t="str">
        <x:f>'All Direct Jobs'!M52</x:f>
        <x:v>Not Applied</x:v>
      </x:c>
      <x:c r="N24" s="13" t="str">
        <x:f>IF('All Direct Jobs'!N52="","",'All Direct Jobs'!N52)</x:f>
      </x:c>
      <x:c r="O24" s="13" t="str">
        <x:f>IF('All Direct Jobs'!O52="","",'All Direct Jobs'!O52)</x:f>
      </x:c>
    </x:row>
    <x:row r="25">
      <x:c r="A25" s="13" t="inlineStr">
        <x:is>
          <x:t xml:space="preserve">🔥 Apply First</x:t>
        </x:is>
      </x:c>
      <x:c r="B25" s="13" t="inlineStr">
        <x:is>
          <x:t xml:space="preserve">The Home Depot</x:t>
        </x:is>
      </x:c>
      <x:c r="C25" s="13" t="inlineStr">
        <x:is>
          <x:t xml:space="preserve">Cybersecurity Engineer II | SIEM and EDR</x:t>
        </x:is>
      </x:c>
      <x:c r="D25" s="13" t="inlineStr">
        <x:is>
          <x:t xml:space="preserve">SIEM / EDR / Detection</x:t>
        </x:is>
      </x:c>
      <x:c r="E25" s="13" t="inlineStr">
        <x:is>
          <x:t xml:space="preserve">Atlanta, GA / Remote</x:t>
        </x:is>
      </x:c>
      <x:c r="F25" s="13" t="inlineStr">
        <x:is>
          <x:t xml:space="preserve">2+ years</x:t>
        </x:is>
      </x:c>
      <x:c r="G25" s="13" t="inlineStr">
        <x:is>
          <x:t xml:space="preserve">Employer has H-1B history; exact role says legally permitted to work, no explicit no-sponsor line surfaced</x:t>
        </x:is>
      </x:c>
      <x:c r="H25" s="13" t="inlineStr">
        <x:is>
          <x:t xml:space="preserve">Excellent</x:t>
        </x:is>
      </x:c>
      <x:c r="I25" s="13" t="inlineStr">
        <x:is>
          <x:t xml:space="preserve">$90K–$130K</x:t>
        </x:is>
      </x:c>
      <x:c r="J25" s="72" t="inlineStr">
        <x:is>
          <x:t xml:space="preserve">Apply →</x:t>
        </x:is>
      </x:c>
      <x:c r="K25" s="72" t="inlineStr">
        <x:is>
          <x:t xml:space="preserve">https://careers.homedepot.com/job/23715993/cybersecurity-engineer-ii-siem-and-edr-remote-remote/</x:t>
        </x:is>
      </x:c>
      <x:c r="L25" s="13" t="inlineStr">
        <x:is>
          <x:t xml:space="preserve">2026-10-26</x:t>
        </x:is>
      </x:c>
      <x:c r="M25" s="13" t="str">
        <x:f>'All Direct Jobs'!M55</x:f>
        <x:v>Not Applied</x:v>
      </x:c>
      <x:c r="N25" s="13" t="str">
        <x:f>IF('All Direct Jobs'!N55="","",'All Direct Jobs'!N55)</x:f>
      </x:c>
      <x:c r="O25" s="13" t="str">
        <x:f>IF('All Direct Jobs'!O55="","",'All Direct Jobs'!O55)</x:f>
      </x:c>
    </x:row>
    <x:row r="26">
      <x:c r="A26" s="13" t="inlineStr">
        <x:is>
          <x:t xml:space="preserve">🔥 Apply First</x:t>
        </x:is>
      </x:c>
      <x:c r="B26" s="13" t="inlineStr">
        <x:is>
          <x:t xml:space="preserve">At-Bay</x:t>
        </x:is>
      </x:c>
      <x:c r="C26" s="13" t="inlineStr">
        <x:is>
          <x:t xml:space="preserve">Cyber Analyst, Digital Forensics Incident Response</x:t>
        </x:is>
      </x:c>
      <x:c r="D26" s="13" t="inlineStr">
        <x:is>
          <x:t xml:space="preserve">DFIR / Incident Response</x:t>
        </x:is>
      </x:c>
      <x:c r="E26" s="13" t="inlineStr">
        <x:is>
          <x:t xml:space="preserve">Remote US</x:t>
        </x:is>
      </x:c>
      <x:c r="F26" s="13" t="inlineStr">
        <x:is>
          <x:t xml:space="preserve">2+ years</x:t>
        </x:is>
      </x:c>
      <x:c r="G26" s="13" t="inlineStr">
        <x:is>
          <x:t xml:space="preserve">No explicit no-sponsorship blocker found; confirm future H-1B</x:t>
        </x:is>
      </x:c>
      <x:c r="H26" s="13" t="inlineStr">
        <x:is>
          <x:t xml:space="preserve">Excellent</x:t>
        </x:is>
      </x:c>
      <x:c r="I26" s="13" t="inlineStr">
        <x:is>
          <x:t xml:space="preserve">$80K–$115K</x:t>
        </x:is>
      </x:c>
      <x:c r="J26" s="72" t="inlineStr">
        <x:is>
          <x:t xml:space="preserve">Apply →</x:t>
        </x:is>
      </x:c>
      <x:c r="K26" s="72" t="inlineStr">
        <x:is>
          <x:t xml:space="preserve">https://job-boards.greenhouse.io/atbayjobs/jobs/5657977003</x:t>
        </x:is>
      </x:c>
      <x:c r="L26" s="13" t="inlineStr">
        <x:is>
          <x:t xml:space="preserve">2026-10-26</x:t>
        </x:is>
      </x:c>
      <x:c r="M26" s="13" t="str">
        <x:f>'All Direct Jobs'!M61</x:f>
        <x:v>Not Applied</x:v>
      </x:c>
      <x:c r="N26" s="13" t="str">
        <x:f>IF('All Direct Jobs'!N61="","",'All Direct Jobs'!N61)</x:f>
      </x:c>
      <x:c r="O26" s="13" t="str">
        <x:f>IF('All Direct Jobs'!O61="","",'All Direct Jobs'!O61)</x:f>
      </x:c>
    </x:row>
    <x:row r="27">
      <x:c r="A27" s="13" t="inlineStr">
        <x:is>
          <x:t xml:space="preserve">🔥 Apply First</x:t>
        </x:is>
      </x:c>
      <x:c r="B27" s="13" t="inlineStr">
        <x:is>
          <x:t xml:space="preserve">Appian</x:t>
        </x:is>
      </x:c>
      <x:c r="C27" s="13" t="inlineStr">
        <x:is>
          <x:t xml:space="preserve">Information Security Analyst</x:t>
        </x:is>
      </x:c>
      <x:c r="D27" s="13" t="inlineStr">
        <x:is>
          <x:t xml:space="preserve">Vulnerability Mgmt / GRC</x:t>
        </x:is>
      </x:c>
      <x:c r="E27" s="13" t="inlineStr">
        <x:is>
          <x:t xml:space="preserve">McLean, VA</x:t>
        </x:is>
      </x:c>
      <x:c r="F27" s="13" t="inlineStr">
        <x:is>
          <x:t xml:space="preserve">2+ years</x:t>
        </x:is>
      </x:c>
      <x:c r="G27" s="13" t="inlineStr">
        <x:is>
          <x:t xml:space="preserve">Sponsor-capable tech employer; exact-role confirmation needed</x:t>
        </x:is>
      </x:c>
      <x:c r="H27" s="13" t="inlineStr">
        <x:is>
          <x:t xml:space="preserve">Excellent</x:t>
        </x:is>
      </x:c>
      <x:c r="I27" s="13" t="inlineStr">
        <x:is>
          <x:t xml:space="preserve">Not listed</x:t>
        </x:is>
      </x:c>
      <x:c r="J27" s="72" t="inlineStr">
        <x:is>
          <x:t xml:space="preserve">Apply →</x:t>
        </x:is>
      </x:c>
      <x:c r="K27" s="72" t="inlineStr">
        <x:is>
          <x:t xml:space="preserve">https://job-boards.greenhouse.io/appian/jobs/8312417</x:t>
        </x:is>
      </x:c>
      <x:c r="L27" s="13" t="inlineStr">
        <x:is>
          <x:t xml:space="preserve">2026-10-26</x:t>
        </x:is>
      </x:c>
      <x:c r="M27" s="13" t="str">
        <x:f>'All Direct Jobs'!M62</x:f>
        <x:v>Not Applied</x:v>
      </x:c>
      <x:c r="N27" s="13" t="str">
        <x:f>IF('All Direct Jobs'!N62="","",'All Direct Jobs'!N62)</x:f>
      </x:c>
      <x:c r="O27" s="13" t="str">
        <x:f>IF('All Direct Jobs'!O62="","",'All Direct Jobs'!O62)</x:f>
      </x:c>
    </x:row>
    <x:row r="28">
      <x:c r="A28" s="13" t="inlineStr">
        <x:is>
          <x:t xml:space="preserve">🔥 Apply First</x:t>
        </x:is>
      </x:c>
      <x:c r="B28" s="13" t="inlineStr">
        <x:is>
          <x:t xml:space="preserve">GuidePoint Security</x:t>
        </x:is>
      </x:c>
      <x:c r="C28" s="13" t="inlineStr">
        <x:is>
          <x:t xml:space="preserve">Security Engineer - Corporate Information Security</x:t>
        </x:is>
      </x:c>
      <x:c r="D28" s="13" t="inlineStr">
        <x:is>
          <x:t xml:space="preserve">Detection / Threat Hunting</x:t>
        </x:is>
      </x:c>
      <x:c r="E28" s="13" t="inlineStr">
        <x:is>
          <x:t xml:space="preserve">Remote US</x:t>
        </x:is>
      </x:c>
      <x:c r="F28" s="13" t="inlineStr">
        <x:is>
          <x:t xml:space="preserve">BS +2 years or MS accepted</x:t>
        </x:is>
      </x:c>
      <x:c r="G28" s="13" t="inlineStr">
        <x:is>
          <x:t xml:space="preserve">Cybersecurity employer; no explicit no-sponsorship blocker found</x:t>
        </x:is>
      </x:c>
      <x:c r="H28" s="13" t="inlineStr">
        <x:is>
          <x:t xml:space="preserve">Excellent</x:t>
        </x:is>
      </x:c>
      <x:c r="I28" s="13" t="inlineStr">
        <x:is>
          <x:t xml:space="preserve">Not listed</x:t>
        </x:is>
      </x:c>
      <x:c r="J28" s="72" t="inlineStr">
        <x:is>
          <x:t xml:space="preserve">Apply →</x:t>
        </x:is>
      </x:c>
      <x:c r="K28" s="72" t="inlineStr">
        <x:is>
          <x:t xml:space="preserve">https://job-boards.greenhouse.io/guidepointsecurity/jobs/6225726004?gh_jid=6225726004</x:t>
        </x:is>
      </x:c>
      <x:c r="L28" s="13" t="inlineStr">
        <x:is>
          <x:t xml:space="preserve">2026-10-26</x:t>
        </x:is>
      </x:c>
      <x:c r="M28" s="13" t="str">
        <x:f>'All Direct Jobs'!M63</x:f>
        <x:v>Not Applied</x:v>
      </x:c>
      <x:c r="N28" s="13" t="str">
        <x:f>IF('All Direct Jobs'!N63="","",'All Direct Jobs'!N63)</x:f>
      </x:c>
      <x:c r="O28" s="13" t="str">
        <x:f>IF('All Direct Jobs'!O63="","",'All Direct Jobs'!O63)</x:f>
      </x:c>
    </x:row>
    <x:row r="29">
      <x:c r="A29" s="13" t="inlineStr">
        <x:is>
          <x:t xml:space="preserve">🔥 Apply First</x:t>
        </x:is>
      </x:c>
      <x:c r="B29" s="13" t="inlineStr">
        <x:is>
          <x:t xml:space="preserve">Twitch</x:t>
        </x:is>
      </x:c>
      <x:c r="C29" s="13" t="inlineStr">
        <x:is>
          <x:t xml:space="preserve">Security Incident Response Engineer</x:t>
        </x:is>
      </x:c>
      <x:c r="D29" s="13" t="inlineStr">
        <x:is>
          <x:t xml:space="preserve">Incident Response</x:t>
        </x:is>
      </x:c>
      <x:c r="E29" s="13" t="inlineStr">
        <x:is>
          <x:t xml:space="preserve">San Francisco / Irvine / Seattle</x:t>
        </x:is>
      </x:c>
      <x:c r="F29" s="13" t="inlineStr">
        <x:is>
          <x:t xml:space="preserve">3+ years or equivalent degree</x:t>
        </x:is>
      </x:c>
      <x:c r="G29" s="13" t="inlineStr">
        <x:is>
          <x:t xml:space="preserve">Amazon-owned sponsor-profile employer; role-level verification needed</x:t>
        </x:is>
      </x:c>
      <x:c r="H29" s="13" t="inlineStr">
        <x:is>
          <x:t xml:space="preserve">Excellent</x:t>
        </x:is>
      </x:c>
      <x:c r="I29" s="13" t="inlineStr">
        <x:is>
          <x:t xml:space="preserve">Not listed</x:t>
        </x:is>
      </x:c>
      <x:c r="J29" s="72" t="inlineStr">
        <x:is>
          <x:t xml:space="preserve">Apply →</x:t>
        </x:is>
      </x:c>
      <x:c r="K29" s="72" t="inlineStr">
        <x:is>
          <x:t xml:space="preserve">https://job-boards.greenhouse.io/twitch/jobs/8812415002</x:t>
        </x:is>
      </x:c>
      <x:c r="L29" s="13" t="inlineStr">
        <x:is>
          <x:t xml:space="preserve">2026-10-26</x:t>
        </x:is>
      </x:c>
      <x:c r="M29" s="13" t="str">
        <x:f>'All Direct Jobs'!M64</x:f>
        <x:v>Not Applied</x:v>
      </x:c>
      <x:c r="N29" s="13" t="str">
        <x:f>IF('All Direct Jobs'!N64="","",'All Direct Jobs'!N64)</x:f>
      </x:c>
      <x:c r="O29" s="13" t="str">
        <x:f>IF('All Direct Jobs'!O64="","",'All Direct Jobs'!O64)</x:f>
      </x:c>
    </x:row>
    <x:row r="30">
      <x:c r="A30" s="13" t="inlineStr">
        <x:is>
          <x:t xml:space="preserve">🔥 Apply First</x:t>
        </x:is>
      </x:c>
      <x:c r="B30" s="13" t="inlineStr">
        <x:is>
          <x:t xml:space="preserve">Geotab</x:t>
        </x:is>
      </x:c>
      <x:c r="C30" s="13" t="inlineStr">
        <x:is>
          <x:t xml:space="preserve">Cybersecurity Incident Response Specialist</x:t>
        </x:is>
      </x:c>
      <x:c r="D30" s="13" t="inlineStr">
        <x:is>
          <x:t xml:space="preserve">Incident Response / Threat Hunting</x:t>
        </x:is>
      </x:c>
      <x:c r="E30" s="13" t="inlineStr">
        <x:is>
          <x:t xml:space="preserve">Atlanta, GA</x:t>
        </x:is>
      </x:c>
      <x:c r="F30" s="13" t="inlineStr">
        <x:is>
          <x:t xml:space="preserve">Mid-career</x:t>
        </x:is>
      </x:c>
      <x:c r="G30" s="13" t="inlineStr">
        <x:is>
          <x:t xml:space="preserve">Global employer; no explicit no-sponsorship blocker found in current page</x:t>
        </x:is>
      </x:c>
      <x:c r="H30" s="13" t="inlineStr">
        <x:is>
          <x:t xml:space="preserve">Excellent</x:t>
        </x:is>
      </x:c>
      <x:c r="I30" s="13" t="inlineStr">
        <x:is>
          <x:t xml:space="preserve">Not listed</x:t>
        </x:is>
      </x:c>
      <x:c r="J30" s="72" t="inlineStr">
        <x:is>
          <x:t xml:space="preserve">Apply →</x:t>
        </x:is>
      </x:c>
      <x:c r="K30" s="72" t="inlineStr">
        <x:is>
          <x:t xml:space="preserve">https://job-boards.greenhouse.io/geotab/jobs/5230323008</x:t>
        </x:is>
      </x:c>
      <x:c r="L30" s="13" t="inlineStr">
        <x:is>
          <x:t xml:space="preserve">2026-10-26</x:t>
        </x:is>
      </x:c>
      <x:c r="M30" s="13" t="str">
        <x:f>'All Direct Jobs'!M65</x:f>
        <x:v>Not Applied</x:v>
      </x:c>
      <x:c r="N30" s="13" t="str">
        <x:f>IF('All Direct Jobs'!N65="","",'All Direct Jobs'!N65)</x:f>
      </x:c>
      <x:c r="O30" s="13" t="str">
        <x:f>IF('All Direct Jobs'!O65="","",'All Direct Jobs'!O65)</x:f>
      </x:c>
    </x:row>
  </x:sheetData>
  <x:conditionalFormatting sqref="M2:M100">
    <x:cfRule type="expression" dxfId="40" priority="1">
      <x:formula>M2="Not Applied"</x:formula>
    </x:cfRule>
    <x:cfRule type="expression" dxfId="41" priority="2">
      <x:formula>M2="Planning to Apply"</x:formula>
    </x:cfRule>
    <x:cfRule type="expression" dxfId="42" priority="3">
      <x:formula>M2="Applied"</x:formula>
    </x:cfRule>
    <x:cfRule type="expression" dxfId="43" priority="4">
      <x:formula>M2="Under Consideration"</x:formula>
    </x:cfRule>
    <x:cfRule type="expression" dxfId="44" priority="5">
      <x:formula>M2="OA / Assessment"</x:formula>
    </x:cfRule>
    <x:cfRule type="expression" dxfId="45" priority="6">
      <x:formula>M2="Recruiter Screen"</x:formula>
    </x:cfRule>
    <x:cfRule type="expression" dxfId="46" priority="7">
      <x:formula>M2="Interview"</x:formula>
    </x:cfRule>
    <x:cfRule type="expression" dxfId="47" priority="8">
      <x:formula>M2="Final Round"</x:formula>
    </x:cfRule>
    <x:cfRule type="expression" dxfId="48" priority="9">
      <x:formula>M2="Offer"</x:formula>
    </x:cfRule>
    <x:cfRule type="expression" dxfId="49" priority="10">
      <x:formula>M2="Rejected"</x:formula>
    </x:cfRule>
    <x:cfRule type="expression" dxfId="50" priority="11">
      <x:formula>M2="Withdrawn"</x:formula>
    </x:cfRule>
    <x:cfRule type="expression" dxfId="51" priority="12">
      <x:formula>M2="Not Going to Apply"</x:formula>
    </x:cfRule>
    <x:cfRule type="expression" dxfId="52" priority="13">
      <x:formula>M2="Closed / Expired"</x:formula>
    </x:cfRule>
  </x:conditionalFormatting>
  <x:hyperlinks>
    <x:hyperlink xmlns:r="http://schemas.openxmlformats.org/officeDocument/2006/relationships" ref="J2" r:id="Rf11ed172cb234a62"/>
    <x:hyperlink xmlns:r="http://schemas.openxmlformats.org/officeDocument/2006/relationships" ref="K2" r:id="R1976dea6ae524bc0"/>
    <x:hyperlink xmlns:r="http://schemas.openxmlformats.org/officeDocument/2006/relationships" ref="J3" r:id="R95c5aba4a5fa4624"/>
    <x:hyperlink xmlns:r="http://schemas.openxmlformats.org/officeDocument/2006/relationships" ref="K3" r:id="Re6a21d82f6d54b4d"/>
    <x:hyperlink xmlns:r="http://schemas.openxmlformats.org/officeDocument/2006/relationships" ref="J4" r:id="Rf3548787e6c94571"/>
    <x:hyperlink xmlns:r="http://schemas.openxmlformats.org/officeDocument/2006/relationships" ref="K4" r:id="R30b153f71b744431"/>
    <x:hyperlink xmlns:r="http://schemas.openxmlformats.org/officeDocument/2006/relationships" ref="J5" r:id="Rd91d2bf057574fb1"/>
    <x:hyperlink xmlns:r="http://schemas.openxmlformats.org/officeDocument/2006/relationships" ref="K5" r:id="R1969d0b64426472a"/>
    <x:hyperlink xmlns:r="http://schemas.openxmlformats.org/officeDocument/2006/relationships" ref="J6" r:id="Rbde4f981383c4abc"/>
    <x:hyperlink xmlns:r="http://schemas.openxmlformats.org/officeDocument/2006/relationships" ref="K6" r:id="R56373c85cef640dc"/>
    <x:hyperlink xmlns:r="http://schemas.openxmlformats.org/officeDocument/2006/relationships" ref="J7" r:id="R20771940001a43b2"/>
    <x:hyperlink xmlns:r="http://schemas.openxmlformats.org/officeDocument/2006/relationships" ref="K7" r:id="R3455bb69d6654bc0"/>
    <x:hyperlink xmlns:r="http://schemas.openxmlformats.org/officeDocument/2006/relationships" ref="J8" r:id="Rcfd098aa756b4279"/>
    <x:hyperlink xmlns:r="http://schemas.openxmlformats.org/officeDocument/2006/relationships" ref="K8" r:id="R2519de53429943e9"/>
    <x:hyperlink xmlns:r="http://schemas.openxmlformats.org/officeDocument/2006/relationships" ref="J9" r:id="R102d5bd834994c64"/>
    <x:hyperlink xmlns:r="http://schemas.openxmlformats.org/officeDocument/2006/relationships" ref="K9" r:id="Rd9da1255d74c498f"/>
    <x:hyperlink xmlns:r="http://schemas.openxmlformats.org/officeDocument/2006/relationships" ref="J10" r:id="Rdbd3a3892ea949a1"/>
    <x:hyperlink xmlns:r="http://schemas.openxmlformats.org/officeDocument/2006/relationships" ref="K10" r:id="Rd5c532dba11a41f6"/>
    <x:hyperlink xmlns:r="http://schemas.openxmlformats.org/officeDocument/2006/relationships" ref="J11" r:id="R8f8ce0426be04216"/>
    <x:hyperlink xmlns:r="http://schemas.openxmlformats.org/officeDocument/2006/relationships" ref="K11" r:id="R20f4169d953f4a4e"/>
    <x:hyperlink xmlns:r="http://schemas.openxmlformats.org/officeDocument/2006/relationships" ref="J12" r:id="R08824226af45451f"/>
    <x:hyperlink xmlns:r="http://schemas.openxmlformats.org/officeDocument/2006/relationships" ref="K12" r:id="R0829e9e7aaa8451f"/>
    <x:hyperlink xmlns:r="http://schemas.openxmlformats.org/officeDocument/2006/relationships" ref="J13" r:id="R4139528fb1d0464c"/>
    <x:hyperlink xmlns:r="http://schemas.openxmlformats.org/officeDocument/2006/relationships" ref="K13" r:id="Rd4d8f2de19b044a5"/>
    <x:hyperlink xmlns:r="http://schemas.openxmlformats.org/officeDocument/2006/relationships" ref="J14" r:id="R7ce4d44b5be2453a"/>
    <x:hyperlink xmlns:r="http://schemas.openxmlformats.org/officeDocument/2006/relationships" ref="K14" r:id="R9f539a0b312f43ba"/>
    <x:hyperlink xmlns:r="http://schemas.openxmlformats.org/officeDocument/2006/relationships" ref="J15" r:id="R9cabdcfd805c4759"/>
    <x:hyperlink xmlns:r="http://schemas.openxmlformats.org/officeDocument/2006/relationships" ref="K15" r:id="R04f7ee78383b40ba"/>
    <x:hyperlink xmlns:r="http://schemas.openxmlformats.org/officeDocument/2006/relationships" ref="J16" r:id="R96ec93fbdf704eb0"/>
    <x:hyperlink xmlns:r="http://schemas.openxmlformats.org/officeDocument/2006/relationships" ref="K16" r:id="Rcbdc0f6fd4184633"/>
    <x:hyperlink xmlns:r="http://schemas.openxmlformats.org/officeDocument/2006/relationships" ref="J17" r:id="R45368bae3f4f4dcf"/>
    <x:hyperlink xmlns:r="http://schemas.openxmlformats.org/officeDocument/2006/relationships" ref="K17" r:id="Rb194152c68864fc6"/>
    <x:hyperlink xmlns:r="http://schemas.openxmlformats.org/officeDocument/2006/relationships" ref="J18" r:id="R5ffd752740e546c4"/>
    <x:hyperlink xmlns:r="http://schemas.openxmlformats.org/officeDocument/2006/relationships" ref="K18" r:id="R695928567e654662"/>
    <x:hyperlink xmlns:r="http://schemas.openxmlformats.org/officeDocument/2006/relationships" ref="J19" r:id="Rea008057a21041bc"/>
    <x:hyperlink xmlns:r="http://schemas.openxmlformats.org/officeDocument/2006/relationships" ref="K19" r:id="R977f911e73c5487c"/>
    <x:hyperlink xmlns:r="http://schemas.openxmlformats.org/officeDocument/2006/relationships" ref="J20" r:id="Re155f46d6ba44203"/>
    <x:hyperlink xmlns:r="http://schemas.openxmlformats.org/officeDocument/2006/relationships" ref="K20" r:id="Ra16981647e274dc4"/>
    <x:hyperlink xmlns:r="http://schemas.openxmlformats.org/officeDocument/2006/relationships" ref="J21" r:id="R5e459e69033f4587"/>
    <x:hyperlink xmlns:r="http://schemas.openxmlformats.org/officeDocument/2006/relationships" ref="K21" r:id="Rc34f6062146c43e6"/>
    <x:hyperlink xmlns:r="http://schemas.openxmlformats.org/officeDocument/2006/relationships" ref="J22" r:id="R22744c3e91244d6b"/>
    <x:hyperlink xmlns:r="http://schemas.openxmlformats.org/officeDocument/2006/relationships" ref="K22" r:id="Rb9a7144408644aa8"/>
    <x:hyperlink xmlns:r="http://schemas.openxmlformats.org/officeDocument/2006/relationships" ref="J23" r:id="R384899433f9a4ae3"/>
    <x:hyperlink xmlns:r="http://schemas.openxmlformats.org/officeDocument/2006/relationships" ref="K23" r:id="Re200e7a4e95a49ed"/>
    <x:hyperlink xmlns:r="http://schemas.openxmlformats.org/officeDocument/2006/relationships" ref="J24" r:id="Rf3b3519d7ac94dce"/>
    <x:hyperlink xmlns:r="http://schemas.openxmlformats.org/officeDocument/2006/relationships" ref="K24" r:id="R0fedf8e6eb7f4b23"/>
    <x:hyperlink xmlns:r="http://schemas.openxmlformats.org/officeDocument/2006/relationships" ref="J25" r:id="Ra7e15976d51642a8"/>
    <x:hyperlink xmlns:r="http://schemas.openxmlformats.org/officeDocument/2006/relationships" ref="K25" r:id="R0e9fd8fda13042e0"/>
    <x:hyperlink xmlns:r="http://schemas.openxmlformats.org/officeDocument/2006/relationships" ref="J26" r:id="R9448259e7af94f92"/>
    <x:hyperlink xmlns:r="http://schemas.openxmlformats.org/officeDocument/2006/relationships" ref="K26" r:id="Rf7e7b3c981564ffd"/>
    <x:hyperlink xmlns:r="http://schemas.openxmlformats.org/officeDocument/2006/relationships" ref="J27" r:id="R6ab24d88c32c46ae"/>
    <x:hyperlink xmlns:r="http://schemas.openxmlformats.org/officeDocument/2006/relationships" ref="K27" r:id="R301ae46f98754d30"/>
    <x:hyperlink xmlns:r="http://schemas.openxmlformats.org/officeDocument/2006/relationships" ref="J28" r:id="R96bfff9299f6459c"/>
    <x:hyperlink xmlns:r="http://schemas.openxmlformats.org/officeDocument/2006/relationships" ref="K28" r:id="R969c6b06c50149cb"/>
    <x:hyperlink xmlns:r="http://schemas.openxmlformats.org/officeDocument/2006/relationships" ref="J29" r:id="R3d042d837bce4cea"/>
    <x:hyperlink xmlns:r="http://schemas.openxmlformats.org/officeDocument/2006/relationships" ref="K29" r:id="R48b3bd59f18841b8"/>
    <x:hyperlink xmlns:r="http://schemas.openxmlformats.org/officeDocument/2006/relationships" ref="J30" r:id="R9b2f7d7cd85b44e0"/>
    <x:hyperlink xmlns:r="http://schemas.openxmlformats.org/officeDocument/2006/relationships" ref="K30" r:id="R19143322d6784384"/>
  </x:hyperlinks>
  <x:pageMargins left="0.7" right="0.7" top="0.75" bottom="0.75" header="0.3" footer="0.3"/>
  <x:tableParts count="1">
    <x:tablePart xmlns:r="http://schemas.openxmlformats.org/officeDocument/2006/relationships" r:id="R9c80016a0bc14b84"/>
  </x:tableParts>
</x:worksheet>
</file>

<file path=xl/worksheets/sheet3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16" customWidth="1"/>
    <x:col min="2" max="2" width="22" customWidth="1"/>
    <x:col min="3" max="3" width="44" customWidth="1"/>
    <x:col min="4" max="4" width="27" customWidth="1"/>
    <x:col min="5" max="5" width="26" customWidth="1"/>
    <x:col min="6" max="6" width="25" customWidth="1"/>
    <x:col min="7" max="7" width="48" customWidth="1"/>
    <x:col min="8" max="8" width="18" customWidth="1"/>
    <x:col min="9" max="9" width="18" customWidth="1"/>
    <x:col min="10" max="10" width="13" customWidth="1"/>
    <x:col min="11" max="11" width="55" customWidth="1"/>
    <x:col min="12" max="12" width="14" customWidth="1"/>
    <x:col min="13" max="13" width="14" customWidth="1"/>
    <x:col min="14" max="14" width="14" customWidth="1"/>
    <x:col min="15" max="15" width="28" customWidth="1"/>
  </x:cols>
  <x:sheetData>
    <x:row r="1" ht="38" customHeight="1">
      <x:c r="A1" s="6" t="inlineStr">
        <x:is>
          <x:t xml:space="preserve">Priority</x:t>
        </x:is>
      </x:c>
      <x:c r="B1" s="6" t="inlineStr">
        <x:is>
          <x:t xml:space="preserve">Company</x:t>
        </x:is>
      </x:c>
      <x:c r="C1" s="6" t="inlineStr">
        <x:is>
          <x:t xml:space="preserve">Role</x:t>
        </x:is>
      </x:c>
      <x:c r="D1" s="6" t="inlineStr">
        <x:is>
          <x:t xml:space="preserve">Track</x:t>
        </x:is>
      </x:c>
      <x:c r="E1" s="6" t="inlineStr">
        <x:is>
          <x:t xml:space="preserve">Location</x:t>
        </x:is>
      </x:c>
      <x:c r="F1" s="6" t="inlineStr">
        <x:is>
          <x:t xml:space="preserve">Experience / Level</x:t>
        </x:is>
      </x:c>
      <x:c r="G1" s="6" t="inlineStr">
        <x:is>
          <x:t xml:space="preserve">H-1B / Visa Signal</x:t>
        </x:is>
      </x:c>
      <x:c r="H1" s="6" t="inlineStr">
        <x:is>
          <x:t xml:space="preserve">Resume Fit</x:t>
        </x:is>
      </x:c>
      <x:c r="I1" s="6" t="inlineStr">
        <x:is>
          <x:t xml:space="preserve">Compensation</x:t>
        </x:is>
      </x:c>
      <x:c r="J1" s="6" t="inlineStr">
        <x:is>
          <x:t xml:space="preserve">Apply</x:t>
        </x:is>
      </x:c>
      <x:c r="K1" s="6" t="inlineStr">
        <x:is>
          <x:t xml:space="preserve">Exact Employer URL</x:t>
        </x:is>
      </x:c>
      <x:c r="L1" s="6" t="inlineStr">
        <x:is>
          <x:t xml:space="preserve">Checked</x:t>
        </x:is>
      </x:c>
      <x:c r="M1" s="6" t="inlineStr">
        <x:is>
          <x:t xml:space="preserve">Status</x:t>
        </x:is>
      </x:c>
      <x:c r="N1" s="6" t="inlineStr">
        <x:is>
          <x:t xml:space="preserve">Date Applied</x:t>
        </x:is>
      </x:c>
      <x:c r="O1" s="6" t="inlineStr">
        <x:is>
          <x:t xml:space="preserve">Notes</x:t>
        </x:is>
      </x:c>
    </x:row>
    <x:row r="2">
      <x:c r="A2" s="13" t="inlineStr">
        <x:is>
          <x:t xml:space="preserve">🔥 Apply First</x:t>
        </x:is>
      </x:c>
      <x:c r="B2" s="13" t="inlineStr">
        <x:is>
          <x:t xml:space="preserve">Together AI</x:t>
        </x:is>
      </x:c>
      <x:c r="C2" s="13" t="inlineStr">
        <x:is>
          <x:t xml:space="preserve">Hardware Security Engineer, New Grad (2027)</x:t>
        </x:is>
      </x:c>
      <x:c r="D2" s="13" t="inlineStr">
        <x:is>
          <x:t xml:space="preserve">AI / Hardware Security</x:t>
        </x:is>
      </x:c>
      <x:c r="E2" s="13" t="inlineStr">
        <x:is>
          <x:t xml:space="preserve">San Francisco, CA</x:t>
        </x:is>
      </x:c>
      <x:c r="F2" s="13" t="inlineStr">
        <x:is>
          <x:t xml:space="preserve">New Grad 2027</x:t>
        </x:is>
      </x:c>
      <x:c r="G2" s="13" t="inlineStr">
        <x:is>
          <x:t xml:space="preserve">Strong sponsor-profile employer; exact role does not promise H-1B</x:t>
        </x:is>
      </x:c>
      <x:c r="H2" s="13" t="inlineStr">
        <x:is>
          <x:t xml:space="preserve">Excellent</x:t>
        </x:is>
      </x:c>
      <x:c r="I2" s="13" t="inlineStr">
        <x:is>
          <x:t xml:space="preserve">$140K–$150K</x:t>
        </x:is>
      </x:c>
      <x:c r="J2" s="72" t="inlineStr">
        <x:is>
          <x:t xml:space="preserve">Apply →</x:t>
        </x:is>
      </x:c>
      <x:c r="K2" s="72" t="inlineStr">
        <x:is>
          <x:t xml:space="preserve">https://job-boards.greenhouse.io/togetherai/jobs/5238471007</x:t>
        </x:is>
      </x:c>
      <x:c r="L2" s="13" t="inlineStr">
        <x:is>
          <x:t xml:space="preserve">2026-10-26</x:t>
        </x:is>
      </x:c>
      <x:c r="M2" s="13" t="inlineStr">
        <x:is>
          <x:t xml:space="preserve">Not Applied</x:t>
        </x:is>
      </x:c>
      <x:c r="N2" s="13" t="str"/>
      <x:c r="O2" s="13" t="str"/>
    </x:row>
    <x:row r="3">
      <x:c r="A3" s="13" t="inlineStr">
        <x:is>
          <x:t xml:space="preserve">🔥 Apply First</x:t>
        </x:is>
      </x:c>
      <x:c r="B3" s="13" t="inlineStr">
        <x:is>
          <x:t xml:space="preserve">Rubrik</x:t>
        </x:is>
      </x:c>
      <x:c r="C3" s="13" t="inlineStr">
        <x:is>
          <x:t xml:space="preserve">Software Engineer - Product Platform Security</x:t>
        </x:is>
      </x:c>
      <x:c r="D3" s="13" t="inlineStr">
        <x:is>
          <x:t xml:space="preserve">Product Security</x:t>
        </x:is>
      </x:c>
      <x:c r="E3" s="13" t="inlineStr">
        <x:is>
          <x:t xml:space="preserve">Palo Alto, CA</x:t>
        </x:is>
      </x:c>
      <x:c r="F3" s="13" t="inlineStr">
        <x:is>
          <x:t xml:space="preserve">0–2 years</x:t>
        </x:is>
      </x:c>
      <x:c r="G3" s="13" t="inlineStr">
        <x:is>
          <x:t xml:space="preserve">Strong sponsor-profile employer; role-level confirmation still needed</x:t>
        </x:is>
      </x:c>
      <x:c r="H3" s="13" t="inlineStr">
        <x:is>
          <x:t xml:space="preserve">Excellent</x:t>
        </x:is>
      </x:c>
      <x:c r="I3" s="13" t="inlineStr">
        <x:is>
          <x:t xml:space="preserve">$131.4K–$197.2K</x:t>
        </x:is>
      </x:c>
      <x:c r="J3" s="72" t="inlineStr">
        <x:is>
          <x:t xml:space="preserve">Apply →</x:t>
        </x:is>
      </x:c>
      <x:c r="K3" s="72" t="inlineStr">
        <x:is>
          <x:t xml:space="preserve">https://www.rubrik.com/company/careers/departments/job.8243737?gh_jid=8243737</x:t>
        </x:is>
      </x:c>
      <x:c r="L3" s="13" t="inlineStr">
        <x:is>
          <x:t xml:space="preserve">2026-10-26</x:t>
        </x:is>
      </x:c>
      <x:c r="M3" s="13" t="inlineStr">
        <x:is>
          <x:t xml:space="preserve">Not Applied</x:t>
        </x:is>
      </x:c>
      <x:c r="N3" s="13" t="str"/>
      <x:c r="O3" s="13" t="str"/>
    </x:row>
    <x:row r="4">
      <x:c r="A4" s="13" t="inlineStr">
        <x:is>
          <x:t xml:space="preserve">🔥 Apply First</x:t>
        </x:is>
      </x:c>
      <x:c r="B4" s="13" t="inlineStr">
        <x:is>
          <x:t xml:space="preserve">Applied Intuition</x:t>
        </x:is>
      </x:c>
      <x:c r="C4" s="13" t="inlineStr">
        <x:is>
          <x:t xml:space="preserve">Cybersecurity Software Engineer - New Grad (2027)</x:t>
        </x:is>
      </x:c>
      <x:c r="D4" s="13" t="inlineStr">
        <x:is>
          <x:t xml:space="preserve">Product / Embedded Security</x:t>
        </x:is>
      </x:c>
      <x:c r="E4" s="13" t="inlineStr">
        <x:is>
          <x:t xml:space="preserve">Sunnyvale, CA</x:t>
        </x:is>
      </x:c>
      <x:c r="F4" s="13" t="inlineStr">
        <x:is>
          <x:t xml:space="preserve">New Grad 2027</x:t>
        </x:is>
      </x:c>
      <x:c r="G4" s="13" t="inlineStr">
        <x:is>
          <x:t xml:space="preserve">Strong sponsor-profile employer; no explicit role blocker found</x:t>
        </x:is>
      </x:c>
      <x:c r="H4" s="13" t="inlineStr">
        <x:is>
          <x:t xml:space="preserve">Excellent</x:t>
        </x:is>
      </x:c>
      <x:c r="I4" s="13" t="inlineStr">
        <x:is>
          <x:t xml:space="preserve">$130K–$158K</x:t>
        </x:is>
      </x:c>
      <x:c r="J4" s="72" t="inlineStr">
        <x:is>
          <x:t xml:space="preserve">Apply →</x:t>
        </x:is>
      </x:c>
      <x:c r="K4" s="72" t="inlineStr">
        <x:is>
          <x:t xml:space="preserve">https://jobs.ashbyhq.com/applied/a561fff8-aa38-4a5d-8b29-66c191f7328e/</x:t>
        </x:is>
      </x:c>
      <x:c r="L4" s="13" t="inlineStr">
        <x:is>
          <x:t xml:space="preserve">2026-10-26</x:t>
        </x:is>
      </x:c>
      <x:c r="M4" s="13" t="inlineStr">
        <x:is>
          <x:t xml:space="preserve">Not Applied</x:t>
        </x:is>
      </x:c>
      <x:c r="N4" s="13" t="str"/>
      <x:c r="O4" s="13" t="str"/>
    </x:row>
    <x:row r="5">
      <x:c r="A5" s="13" t="inlineStr">
        <x:is>
          <x:t xml:space="preserve">🔥 Apply First</x:t>
        </x:is>
      </x:c>
      <x:c r="B5" s="13" t="inlineStr">
        <x:is>
          <x:t xml:space="preserve">1Password</x:t>
        </x:is>
      </x:c>
      <x:c r="C5" s="13" t="inlineStr">
        <x:is>
          <x:t xml:space="preserve">Junior Security Engineer</x:t>
        </x:is>
      </x:c>
      <x:c r="D5" s="13" t="inlineStr">
        <x:is>
          <x:t xml:space="preserve">Application Security</x:t>
        </x:is>
      </x:c>
      <x:c r="E5" s="13" t="inlineStr">
        <x:is>
          <x:t xml:space="preserve">Remote US / Canada</x:t>
        </x:is>
      </x:c>
      <x:c r="F5" s="13" t="inlineStr">
        <x:is>
          <x:t xml:space="preserve">0–2+ years</x:t>
        </x:is>
      </x:c>
      <x:c r="G5" s="13" t="inlineStr">
        <x:is>
          <x:t xml:space="preserve">No explicit no-sponsorship blocker found; confirm future H-1B</x:t>
        </x:is>
      </x:c>
      <x:c r="H5" s="13" t="inlineStr">
        <x:is>
          <x:t xml:space="preserve">Excellent</x:t>
        </x:is>
      </x:c>
      <x:c r="I5" s="13" t="inlineStr">
        <x:is>
          <x:t xml:space="preserve">Not listed</x:t>
        </x:is>
      </x:c>
      <x:c r="J5" s="72" t="inlineStr">
        <x:is>
          <x:t xml:space="preserve">Apply →</x:t>
        </x:is>
      </x:c>
      <x:c r="K5" s="72" t="inlineStr">
        <x:is>
          <x:t xml:space="preserve">https://jobs.ashbyhq.com/1password/49f0fe51-fcdc-46d8-a046-35f357b0cf6e/</x:t>
        </x:is>
      </x:c>
      <x:c r="L5" s="13" t="inlineStr">
        <x:is>
          <x:t xml:space="preserve">2026-10-26</x:t>
        </x:is>
      </x:c>
      <x:c r="M5" s="13" t="inlineStr">
        <x:is>
          <x:t xml:space="preserve">Not Applied</x:t>
        </x:is>
      </x:c>
      <x:c r="N5" s="13" t="str"/>
      <x:c r="O5" s="13" t="str"/>
    </x:row>
    <x:row r="6">
      <x:c r="A6" s="13" t="inlineStr">
        <x:is>
          <x:t xml:space="preserve">🔥 Apply First</x:t>
        </x:is>
      </x:c>
      <x:c r="B6" s="13" t="inlineStr">
        <x:is>
          <x:t xml:space="preserve">CrowdStrike</x:t>
        </x:is>
      </x:c>
      <x:c r="C6" s="13" t="inlineStr">
        <x:is>
          <x:t xml:space="preserve">Analyst I, Falcon Complete</x:t>
        </x:is>
      </x:c>
      <x:c r="D6" s="13" t="inlineStr">
        <x:is>
          <x:t xml:space="preserve">SOC / Incident Response</x:t>
        </x:is>
      </x:c>
      <x:c r="E6" s="13" t="inlineStr">
        <x:is>
          <x:t xml:space="preserve">Remote (PST/MST)</x:t>
        </x:is>
      </x:c>
      <x:c r="F6" s="13" t="inlineStr">
        <x:is>
          <x:t xml:space="preserve">Entry level</x:t>
        </x:is>
      </x:c>
      <x:c r="G6" s="13" t="inlineStr">
        <x:is>
          <x:t xml:space="preserve">Strong sponsor-profile employer; confirm exact requisition</x:t>
        </x:is>
      </x:c>
      <x:c r="H6" s="13" t="inlineStr">
        <x:is>
          <x:t xml:space="preserve">Excellent</x:t>
        </x:is>
      </x:c>
      <x:c r="I6" s="13" t="inlineStr">
        <x:is>
          <x:t xml:space="preserve">$85K–$120K</x:t>
        </x:is>
      </x:c>
      <x:c r="J6" s="72" t="inlineStr">
        <x:is>
          <x:t xml:space="preserve">Apply →</x:t>
        </x:is>
      </x:c>
      <x:c r="K6" s="72" t="inlineStr">
        <x:is>
          <x:t xml:space="preserve">https://crowdstrike.wd5.myworkdayjobs.com/en-US/crowdstrikecareers/job/Associate-Analyst--Falcon-Complete_R30082</x:t>
        </x:is>
      </x:c>
      <x:c r="L6" s="13" t="inlineStr">
        <x:is>
          <x:t xml:space="preserve">2026-10-26</x:t>
        </x:is>
      </x:c>
      <x:c r="M6" s="13" t="inlineStr">
        <x:is>
          <x:t xml:space="preserve">Not Applied</x:t>
        </x:is>
      </x:c>
      <x:c r="N6" s="13" t="str"/>
      <x:c r="O6" s="13" t="str"/>
    </x:row>
    <x:row r="7">
      <x:c r="A7" s="13" t="inlineStr">
        <x:is>
          <x:t xml:space="preserve">⭐ Strong Fit</x:t>
        </x:is>
      </x:c>
      <x:c r="B7" s="13" t="inlineStr">
        <x:is>
          <x:t xml:space="preserve">FICO</x:t>
        </x:is>
      </x:c>
      <x:c r="C7" s="13" t="inlineStr">
        <x:is>
          <x:t xml:space="preserve">Analytic Compliance, Audit Analyst II</x:t>
        </x:is>
      </x:c>
      <x:c r="D7" s="13" t="inlineStr">
        <x:is>
          <x:t xml:space="preserve">Technology Risk / Audit</x:t>
        </x:is>
      </x:c>
      <x:c r="E7" s="13" t="inlineStr">
        <x:is>
          <x:t xml:space="preserve">Remote US</x:t>
        </x:is>
      </x:c>
      <x:c r="F7" s="13" t="inlineStr">
        <x:is>
          <x:t xml:space="preserve">Entry level</x:t>
        </x:is>
      </x:c>
      <x:c r="G7" s="13" t="inlineStr">
        <x:is>
          <x:t xml:space="preserve">Sponsor-capable employer; confirm role-level sponsorship</x:t>
        </x:is>
      </x:c>
      <x:c r="H7" s="13" t="inlineStr">
        <x:is>
          <x:t xml:space="preserve">Strong</x:t>
        </x:is>
      </x:c>
      <x:c r="I7" s="13" t="inlineStr">
        <x:is>
          <x:t xml:space="preserve">$70K–$110K</x:t>
        </x:is>
      </x:c>
      <x:c r="J7" s="72" t="inlineStr">
        <x:is>
          <x:t xml:space="preserve">Apply →</x:t>
        </x:is>
      </x:c>
      <x:c r="K7" s="72" t="inlineStr">
        <x:is>
          <x:t xml:space="preserve">https://fico.wd1.myworkdayjobs.com/en-US/External/job/Analytic-Compliance--Audit-Analyst-II_32259</x:t>
        </x:is>
      </x:c>
      <x:c r="L7" s="13" t="inlineStr">
        <x:is>
          <x:t xml:space="preserve">2026-10-26</x:t>
        </x:is>
      </x:c>
      <x:c r="M7" s="13" t="inlineStr">
        <x:is>
          <x:t xml:space="preserve">Not Applied</x:t>
        </x:is>
      </x:c>
      <x:c r="N7" s="13" t="str"/>
      <x:c r="O7" s="13" t="str"/>
    </x:row>
    <x:row r="8">
      <x:c r="A8" s="13" t="inlineStr">
        <x:is>
          <x:t xml:space="preserve">🔥 Apply First</x:t>
        </x:is>
      </x:c>
      <x:c r="B8" s="13" t="inlineStr">
        <x:is>
          <x:t xml:space="preserve">Bloomberg Industry Group</x:t>
        </x:is>
      </x:c>
      <x:c r="C8" s="13" t="inlineStr">
        <x:is>
          <x:t xml:space="preserve">Application Security Engineer I</x:t>
        </x:is>
      </x:c>
      <x:c r="D8" s="13" t="inlineStr">
        <x:is>
          <x:t xml:space="preserve">Application Security</x:t>
        </x:is>
      </x:c>
      <x:c r="E8" s="13" t="inlineStr">
        <x:is>
          <x:t xml:space="preserve">Arlington, VA / Remote eligible</x:t>
        </x:is>
      </x:c>
      <x:c r="F8" s="13" t="inlineStr">
        <x:is>
          <x:t xml:space="preserve">1–2 years</x:t>
        </x:is>
      </x:c>
      <x:c r="G8" s="13" t="inlineStr">
        <x:is>
          <x:t xml:space="preserve">No explicit no-sponsorship blocker found; confirm future H-1B</x:t>
        </x:is>
      </x:c>
      <x:c r="H8" s="13" t="inlineStr">
        <x:is>
          <x:t xml:space="preserve">Excellent</x:t>
        </x:is>
      </x:c>
      <x:c r="I8" s="13" t="inlineStr">
        <x:is>
          <x:t xml:space="preserve">Not listed</x:t>
        </x:is>
      </x:c>
      <x:c r="J8" s="72" t="inlineStr">
        <x:is>
          <x:t xml:space="preserve">Apply →</x:t>
        </x:is>
      </x:c>
      <x:c r="K8" s="72" t="inlineStr">
        <x:is>
          <x:t xml:space="preserve">https://bloomberg.wd1.myworkdayjobs.com/en-US/Bloombergindustrygroup_External_Career_Site/job/Application-Security-Engineer-I_142068-1</x:t>
        </x:is>
      </x:c>
      <x:c r="L8" s="13" t="inlineStr">
        <x:is>
          <x:t xml:space="preserve">2026-10-26</x:t>
        </x:is>
      </x:c>
      <x:c r="M8" s="13" t="inlineStr">
        <x:is>
          <x:t xml:space="preserve">Not Applied</x:t>
        </x:is>
      </x:c>
      <x:c r="N8" s="13" t="str"/>
      <x:c r="O8" s="13" t="str"/>
    </x:row>
    <x:row r="9">
      <x:c r="A9" s="13" t="inlineStr">
        <x:is>
          <x:t xml:space="preserve">🔥 Apply First</x:t>
        </x:is>
      </x:c>
      <x:c r="B9" s="13" t="inlineStr">
        <x:is>
          <x:t xml:space="preserve">Team Cymru</x:t>
        </x:is>
      </x:c>
      <x:c r="C9" s="13" t="inlineStr">
        <x:is>
          <x:t xml:space="preserve">Threat Intelligence Analyst</x:t>
        </x:is>
      </x:c>
      <x:c r="D9" s="13" t="inlineStr">
        <x:is>
          <x:t xml:space="preserve">Threat Intelligence</x:t>
        </x:is>
      </x:c>
      <x:c r="E9" s="13" t="inlineStr">
        <x:is>
          <x:t xml:space="preserve">Lake Mary, FL / US</x:t>
        </x:is>
      </x:c>
      <x:c r="F9" s="13" t="inlineStr">
        <x:is>
          <x:t xml:space="preserve">Early career</x:t>
        </x:is>
      </x:c>
      <x:c r="G9" s="13" t="inlineStr">
        <x:is>
          <x:t xml:space="preserve">No explicit no-sponsorship blocker found; confirm future H-1B</x:t>
        </x:is>
      </x:c>
      <x:c r="H9" s="13" t="inlineStr">
        <x:is>
          <x:t xml:space="preserve">Excellent</x:t>
        </x:is>
      </x:c>
      <x:c r="I9" s="13" t="inlineStr">
        <x:is>
          <x:t xml:space="preserve">Not listed</x:t>
        </x:is>
      </x:c>
      <x:c r="J9" s="72" t="inlineStr">
        <x:is>
          <x:t xml:space="preserve">Apply →</x:t>
        </x:is>
      </x:c>
      <x:c r="K9" s="72" t="inlineStr">
        <x:is>
          <x:t xml:space="preserve">https://teamcymru.applytojob.com/apply/i2C3uTjEtS/Threat-Intelligence-Analyst</x:t>
        </x:is>
      </x:c>
      <x:c r="L9" s="13" t="inlineStr">
        <x:is>
          <x:t xml:space="preserve">2026-10-26</x:t>
        </x:is>
      </x:c>
      <x:c r="M9" s="13" t="inlineStr">
        <x:is>
          <x:t xml:space="preserve">Not Applied</x:t>
        </x:is>
      </x:c>
      <x:c r="N9" s="13" t="str"/>
      <x:c r="O9" s="13" t="str"/>
    </x:row>
    <x:row r="10">
      <x:c r="A10" s="13" t="inlineStr">
        <x:is>
          <x:t xml:space="preserve">🔥 Apply First</x:t>
        </x:is>
      </x:c>
      <x:c r="B10" s="13" t="inlineStr">
        <x:is>
          <x:t xml:space="preserve">Binary Defense</x:t>
        </x:is>
      </x:c>
      <x:c r="C10" s="13" t="inlineStr">
        <x:is>
          <x:t xml:space="preserve">Tier 1 SOC Analyst - REMOTE</x:t>
        </x:is>
      </x:c>
      <x:c r="D10" s="13" t="inlineStr">
        <x:is>
          <x:t xml:space="preserve">SOC / Detection</x:t>
        </x:is>
      </x:c>
      <x:c r="E10" s="13" t="inlineStr">
        <x:is>
          <x:t xml:space="preserve">Remote US</x:t>
        </x:is>
      </x:c>
      <x:c r="F10" s="13" t="inlineStr">
        <x:is>
          <x:t xml:space="preserve">Tier 1</x:t>
        </x:is>
      </x:c>
      <x:c r="G10" s="13" t="inlineStr">
        <x:is>
          <x:t xml:space="preserve">No explicit no-sponsorship blocker found; confirm future H-1B</x:t>
        </x:is>
      </x:c>
      <x:c r="H10" s="13" t="inlineStr">
        <x:is>
          <x:t xml:space="preserve">Excellent</x:t>
        </x:is>
      </x:c>
      <x:c r="I10" s="13" t="inlineStr">
        <x:is>
          <x:t xml:space="preserve">$55.9K–$88.4K</x:t>
        </x:is>
      </x:c>
      <x:c r="J10" s="72" t="inlineStr">
        <x:is>
          <x:t xml:space="preserve">Apply →</x:t>
        </x:is>
      </x:c>
      <x:c r="K10" s="72" t="inlineStr">
        <x:is>
          <x:t xml:space="preserve">https://recruiting.paylocity.com/recruiting/jobs/Details/4503952/Binary-Defense/Tier-1-SOC-Analyst---REMOTE</x:t>
        </x:is>
      </x:c>
      <x:c r="L10" s="13" t="inlineStr">
        <x:is>
          <x:t xml:space="preserve">2026-10-26</x:t>
        </x:is>
      </x:c>
      <x:c r="M10" s="13" t="inlineStr">
        <x:is>
          <x:t xml:space="preserve">Not Applied</x:t>
        </x:is>
      </x:c>
      <x:c r="N10" s="13" t="str"/>
      <x:c r="O10" s="13" t="str"/>
    </x:row>
    <x:row r="11">
      <x:c r="A11" s="13" t="inlineStr">
        <x:is>
          <x:t xml:space="preserve">🔥 Apply First</x:t>
        </x:is>
      </x:c>
      <x:c r="B11" s="13" t="inlineStr">
        <x:is>
          <x:t xml:space="preserve">SailPoint</x:t>
        </x:is>
      </x:c>
      <x:c r="C11" s="13" t="inlineStr">
        <x:is>
          <x:t xml:space="preserve">Associate Security Software Engineer</x:t>
        </x:is>
      </x:c>
      <x:c r="D11" s="13" t="inlineStr">
        <x:is>
          <x:t xml:space="preserve">Security Engineering / IAM</x:t>
        </x:is>
      </x:c>
      <x:c r="E11" s="13" t="inlineStr">
        <x:is>
          <x:t xml:space="preserve">United States</x:t>
        </x:is>
      </x:c>
      <x:c r="F11" s="13" t="inlineStr">
        <x:is>
          <x:t xml:space="preserve">Associate</x:t>
        </x:is>
      </x:c>
      <x:c r="G11" s="13" t="inlineStr">
        <x:is>
          <x:t xml:space="preserve">Strong sponsor-profile employer; confirm exact requisition</x:t>
        </x:is>
      </x:c>
      <x:c r="H11" s="13" t="inlineStr">
        <x:is>
          <x:t xml:space="preserve">Excellent</x:t>
        </x:is>
      </x:c>
      <x:c r="I11" s="13" t="inlineStr">
        <x:is>
          <x:t xml:space="preserve">Not listed</x:t>
        </x:is>
      </x:c>
      <x:c r="J11" s="72" t="inlineStr">
        <x:is>
          <x:t xml:space="preserve">Apply →</x:t>
        </x:is>
      </x:c>
      <x:c r="K11" s="72" t="inlineStr">
        <x:is>
          <x:t xml:space="preserve">https://sailpoint.wd1.myworkdayjobs.com/en-US/SailPoint/job/Associate-Security-Software-Engineer_R013786</x:t>
        </x:is>
      </x:c>
      <x:c r="L11" s="13" t="inlineStr">
        <x:is>
          <x:t xml:space="preserve">2026-10-26</x:t>
        </x:is>
      </x:c>
      <x:c r="M11" s="13" t="inlineStr">
        <x:is>
          <x:t xml:space="preserve">Not Applied</x:t>
        </x:is>
      </x:c>
      <x:c r="N11" s="13" t="str"/>
      <x:c r="O11" s="13" t="str"/>
    </x:row>
    <x:row r="12">
      <x:c r="A12" s="13" t="inlineStr">
        <x:is>
          <x:t xml:space="preserve">⭐ Strong Fit</x:t>
        </x:is>
      </x:c>
      <x:c r="B12" s="13" t="inlineStr">
        <x:is>
          <x:t xml:space="preserve">GuidePoint Security</x:t>
        </x:is>
      </x:c>
      <x:c r="C12" s="13" t="inlineStr">
        <x:is>
          <x:t xml:space="preserve">Associate Cloud Security Engineer - AWS</x:t>
        </x:is>
      </x:c>
      <x:c r="D12" s="13" t="inlineStr">
        <x:is>
          <x:t xml:space="preserve">Cloud Security</x:t>
        </x:is>
      </x:c>
      <x:c r="E12" s="13" t="inlineStr">
        <x:is>
          <x:t xml:space="preserve">Remote US</x:t>
        </x:is>
      </x:c>
      <x:c r="F12" s="13" t="inlineStr">
        <x:is>
          <x:t xml:space="preserve">Associate</x:t>
        </x:is>
      </x:c>
      <x:c r="G12" s="13" t="inlineStr">
        <x:is>
          <x:t xml:space="preserve">Role does not state a sponsorship prohibition; verify exact case</x:t>
        </x:is>
      </x:c>
      <x:c r="H12" s="13" t="inlineStr">
        <x:is>
          <x:t xml:space="preserve">Strong</x:t>
        </x:is>
      </x:c>
      <x:c r="I12" s="13" t="inlineStr">
        <x:is>
          <x:t xml:space="preserve">Not listed</x:t>
        </x:is>
      </x:c>
      <x:c r="J12" s="72" t="inlineStr">
        <x:is>
          <x:t xml:space="preserve">Apply →</x:t>
        </x:is>
      </x:c>
      <x:c r="K12" s="72" t="inlineStr">
        <x:is>
          <x:t xml:space="preserve">https://job-boards.greenhouse.io/guidepointsecurity/jobs/6191766004?gh_jid=6191766004</x:t>
        </x:is>
      </x:c>
      <x:c r="L12" s="13" t="inlineStr">
        <x:is>
          <x:t xml:space="preserve">2026-10-26</x:t>
        </x:is>
      </x:c>
      <x:c r="M12" s="13" t="inlineStr">
        <x:is>
          <x:t xml:space="preserve">Not Applied</x:t>
        </x:is>
      </x:c>
      <x:c r="N12" s="13" t="str"/>
      <x:c r="O12" s="13" t="str"/>
    </x:row>
    <x:row r="13">
      <x:c r="A13" s="13" t="inlineStr">
        <x:is>
          <x:t xml:space="preserve">🔥 Apply First</x:t>
        </x:is>
      </x:c>
      <x:c r="B13" s="13" t="inlineStr">
        <x:is>
          <x:t xml:space="preserve">ID.me</x:t>
        </x:is>
      </x:c>
      <x:c r="C13" s="13" t="inlineStr">
        <x:is>
          <x:t xml:space="preserve">SOC Analyst</x:t>
        </x:is>
      </x:c>
      <x:c r="D13" s="13" t="inlineStr">
        <x:is>
          <x:t xml:space="preserve">SOC / Detection</x:t>
        </x:is>
      </x:c>
      <x:c r="E13" s="13" t="inlineStr">
        <x:is>
          <x:t xml:space="preserve">McLean, VA</x:t>
        </x:is>
      </x:c>
      <x:c r="F13" s="13" t="inlineStr">
        <x:is>
          <x:t xml:space="preserve">Early career</x:t>
        </x:is>
      </x:c>
      <x:c r="G13" s="13" t="inlineStr">
        <x:is>
          <x:t xml:space="preserve">Sponsor-capable tech employer; role-level confirmation needed</x:t>
        </x:is>
      </x:c>
      <x:c r="H13" s="13" t="inlineStr">
        <x:is>
          <x:t xml:space="preserve">Excellent</x:t>
        </x:is>
      </x:c>
      <x:c r="I13" s="13" t="inlineStr">
        <x:is>
          <x:t xml:space="preserve">Not listed</x:t>
        </x:is>
      </x:c>
      <x:c r="J13" s="72" t="inlineStr">
        <x:is>
          <x:t xml:space="preserve">Apply →</x:t>
        </x:is>
      </x:c>
      <x:c r="K13" s="72" t="inlineStr">
        <x:is>
          <x:t xml:space="preserve">https://job-boards.greenhouse.io/idme/jobs/7808011003</x:t>
        </x:is>
      </x:c>
      <x:c r="L13" s="13" t="inlineStr">
        <x:is>
          <x:t xml:space="preserve">2026-10-26</x:t>
        </x:is>
      </x:c>
      <x:c r="M13" s="13" t="inlineStr">
        <x:is>
          <x:t xml:space="preserve">Not Applied</x:t>
        </x:is>
      </x:c>
      <x:c r="N13" s="13" t="str"/>
      <x:c r="O13" s="13" t="str"/>
    </x:row>
    <x:row r="14">
      <x:c r="A14" s="13" t="inlineStr">
        <x:is>
          <x:t xml:space="preserve">⭐ Strong Fit</x:t>
        </x:is>
      </x:c>
      <x:c r="B14" s="13" t="inlineStr">
        <x:is>
          <x:t xml:space="preserve">Mastercard</x:t>
        </x:is>
      </x:c>
      <x:c r="C14" s="13" t="inlineStr">
        <x:is>
          <x:t xml:space="preserve">Security Monitoring and Response Analyst II</x:t>
        </x:is>
      </x:c>
      <x:c r="D14" s="13" t="inlineStr">
        <x:is>
          <x:t xml:space="preserve">SOC / Incident Response</x:t>
        </x:is>
      </x:c>
      <x:c r="E14" s="13" t="inlineStr">
        <x:is>
          <x:t xml:space="preserve">O'Fallon, MO</x:t>
        </x:is>
      </x:c>
      <x:c r="F14" s="13" t="inlineStr">
        <x:is>
          <x:t xml:space="preserve">Early career</x:t>
        </x:is>
      </x:c>
      <x:c r="G14" s="13" t="inlineStr">
        <x:is>
          <x:t xml:space="preserve">Strong sponsor-profile employer; confirm exact requisition</x:t>
        </x:is>
      </x:c>
      <x:c r="H14" s="13" t="inlineStr">
        <x:is>
          <x:t xml:space="preserve">Strong</x:t>
        </x:is>
      </x:c>
      <x:c r="I14" s="13" t="inlineStr">
        <x:is>
          <x:t xml:space="preserve">Not listed</x:t>
        </x:is>
      </x:c>
      <x:c r="J14" s="72" t="inlineStr">
        <x:is>
          <x:t xml:space="preserve">Apply →</x:t>
        </x:is>
      </x:c>
      <x:c r="K14" s="72" t="inlineStr">
        <x:is>
          <x:t xml:space="preserve">https://mastercard.wd1.myworkdayjobs.com/en-US/CorporateCareers/job/Corporate-Security-Operations-Analyst-II_R-292111-1</x:t>
        </x:is>
      </x:c>
      <x:c r="L14" s="13" t="inlineStr">
        <x:is>
          <x:t xml:space="preserve">2026-10-26</x:t>
        </x:is>
      </x:c>
      <x:c r="M14" s="13" t="inlineStr">
        <x:is>
          <x:t xml:space="preserve">Not Applied</x:t>
        </x:is>
      </x:c>
      <x:c r="N14" s="13" t="str"/>
      <x:c r="O14" s="13" t="str"/>
    </x:row>
    <x:row r="15">
      <x:c r="A15" s="13" t="inlineStr">
        <x:is>
          <x:t xml:space="preserve">⭐ Strong Fit</x:t>
        </x:is>
      </x:c>
      <x:c r="B15" s="13" t="inlineStr">
        <x:is>
          <x:t xml:space="preserve">NVIDIA</x:t>
        </x:is>
      </x:c>
      <x:c r="C15" s="13" t="inlineStr">
        <x:is>
          <x:t xml:space="preserve">Machine Learning Engineer, AI Safety</x:t>
        </x:is>
      </x:c>
      <x:c r="D15" s="13" t="inlineStr">
        <x:is>
          <x:t xml:space="preserve">AI Security / Safety</x:t>
        </x:is>
      </x:c>
      <x:c r="E15" s="13" t="inlineStr">
        <x:is>
          <x:t xml:space="preserve">Santa Clara, CA / Remote CA</x:t>
        </x:is>
      </x:c>
      <x:c r="F15" s="13" t="inlineStr">
        <x:is>
          <x:t xml:space="preserve">Early career</x:t>
        </x:is>
      </x:c>
      <x:c r="G15" s="13" t="inlineStr">
        <x:is>
          <x:t xml:space="preserve">Very strong sponsor-profile employer</x:t>
        </x:is>
      </x:c>
      <x:c r="H15" s="13" t="inlineStr">
        <x:is>
          <x:t xml:space="preserve">Strong / Stretch</x:t>
        </x:is>
      </x:c>
      <x:c r="I15" s="13" t="inlineStr">
        <x:is>
          <x:t xml:space="preserve">Not listed</x:t>
        </x:is>
      </x:c>
      <x:c r="J15" s="72" t="inlineStr">
        <x:is>
          <x:t xml:space="preserve">Apply →</x:t>
        </x:is>
      </x:c>
      <x:c r="K15" s="72" t="inlineStr">
        <x:is>
          <x:t xml:space="preserve">https://nvidia.wd5.myworkdayjobs.com/en-US/NVIDIAExternalCareerSite/job/US-CA-Santa-Clara/Machine-Learning-Engineer--AI-Safety_JR2021784-1</x:t>
        </x:is>
      </x:c>
      <x:c r="L15" s="13" t="inlineStr">
        <x:is>
          <x:t xml:space="preserve">2026-10-26</x:t>
        </x:is>
      </x:c>
      <x:c r="M15" s="13" t="inlineStr">
        <x:is>
          <x:t xml:space="preserve">Not Applied</x:t>
        </x:is>
      </x:c>
      <x:c r="N15" s="13" t="str"/>
      <x:c r="O15" s="13" t="str"/>
    </x:row>
    <x:row r="16">
      <x:c r="A16" s="13" t="inlineStr">
        <x:is>
          <x:t xml:space="preserve">⭐ Strong Fit</x:t>
        </x:is>
      </x:c>
      <x:c r="B16" s="13" t="inlineStr">
        <x:is>
          <x:t xml:space="preserve">Forward Financing</x:t>
        </x:is>
      </x:c>
      <x:c r="C16" s="13" t="inlineStr">
        <x:is>
          <x:t xml:space="preserve">GRC Analyst</x:t>
        </x:is>
      </x:c>
      <x:c r="D16" s="13" t="inlineStr">
        <x:is>
          <x:t xml:space="preserve">GRC / Compliance</x:t>
        </x:is>
      </x:c>
      <x:c r="E16" s="13" t="inlineStr">
        <x:is>
          <x:t xml:space="preserve">Remote US</x:t>
        </x:is>
      </x:c>
      <x:c r="F16" s="13" t="inlineStr">
        <x:is>
          <x:t xml:space="preserve">Early career</x:t>
        </x:is>
      </x:c>
      <x:c r="G16" s="13" t="inlineStr">
        <x:is>
          <x:t xml:space="preserve">No explicit no-sponsorship blocker found; confirm future H-1B</x:t>
        </x:is>
      </x:c>
      <x:c r="H16" s="13" t="inlineStr">
        <x:is>
          <x:t xml:space="preserve">Strong</x:t>
        </x:is>
      </x:c>
      <x:c r="I16" s="13" t="inlineStr">
        <x:is>
          <x:t xml:space="preserve">$85K–$108K</x:t>
        </x:is>
      </x:c>
      <x:c r="J16" s="72" t="inlineStr">
        <x:is>
          <x:t xml:space="preserve">Apply →</x:t>
        </x:is>
      </x:c>
      <x:c r="K16" s="72" t="inlineStr">
        <x:is>
          <x:t xml:space="preserve">https://jobs.ashbyhq.com/Forward%20Financing/258f44d1-4d17-4f19-b702-0487abdf8dd9</x:t>
        </x:is>
      </x:c>
      <x:c r="L16" s="13" t="inlineStr">
        <x:is>
          <x:t xml:space="preserve">2026-10-26</x:t>
        </x:is>
      </x:c>
      <x:c r="M16" s="13" t="inlineStr">
        <x:is>
          <x:t xml:space="preserve">Not Applied</x:t>
        </x:is>
      </x:c>
      <x:c r="N16" s="13" t="str"/>
      <x:c r="O16" s="13" t="str"/>
    </x:row>
    <x:row r="17">
      <x:c r="A17" s="13" t="inlineStr">
        <x:is>
          <x:t xml:space="preserve">⭐ Strong Fit</x:t>
        </x:is>
      </x:c>
      <x:c r="B17" s="13" t="inlineStr">
        <x:is>
          <x:t xml:space="preserve">Corelight</x:t>
        </x:is>
      </x:c>
      <x:c r="C17" s="13" t="inlineStr">
        <x:is>
          <x:t xml:space="preserve">Associate Escalation Engineer</x:t>
        </x:is>
      </x:c>
      <x:c r="D17" s="13" t="inlineStr">
        <x:is>
          <x:t xml:space="preserve">Network Security</x:t>
        </x:is>
      </x:c>
      <x:c r="E17" s="13" t="inlineStr">
        <x:is>
          <x:t xml:space="preserve">United States</x:t>
        </x:is>
      </x:c>
      <x:c r="F17" s="13" t="inlineStr">
        <x:is>
          <x:t xml:space="preserve">Associate</x:t>
        </x:is>
      </x:c>
      <x:c r="G17" s="13" t="inlineStr">
        <x:is>
          <x:t xml:space="preserve">No explicit no-sponsorship blocker found; confirm future H-1B</x:t>
        </x:is>
      </x:c>
      <x:c r="H17" s="13" t="inlineStr">
        <x:is>
          <x:t xml:space="preserve">Strong</x:t>
        </x:is>
      </x:c>
      <x:c r="I17" s="13" t="inlineStr">
        <x:is>
          <x:t xml:space="preserve">Not listed</x:t>
        </x:is>
      </x:c>
      <x:c r="J17" s="72" t="inlineStr">
        <x:is>
          <x:t xml:space="preserve">Apply →</x:t>
        </x:is>
      </x:c>
      <x:c r="K17" s="72" t="inlineStr">
        <x:is>
          <x:t xml:space="preserve">https://job-boards.greenhouse.io/corelight/jobs/8287269</x:t>
        </x:is>
      </x:c>
      <x:c r="L17" s="13" t="inlineStr">
        <x:is>
          <x:t xml:space="preserve">2026-10-26</x:t>
        </x:is>
      </x:c>
      <x:c r="M17" s="13" t="inlineStr">
        <x:is>
          <x:t xml:space="preserve">Not Applied</x:t>
        </x:is>
      </x:c>
      <x:c r="N17" s="13" t="str"/>
      <x:c r="O17" s="13" t="str"/>
    </x:row>
    <x:row r="18">
      <x:c r="A18" s="13" t="inlineStr">
        <x:is>
          <x:t xml:space="preserve">⭐ Strong Fit</x:t>
        </x:is>
      </x:c>
      <x:c r="B18" s="13" t="inlineStr">
        <x:is>
          <x:t xml:space="preserve">Tines</x:t>
        </x:is>
      </x:c>
      <x:c r="C18" s="13" t="inlineStr">
        <x:is>
          <x:t xml:space="preserve">Technical Support Engineer I</x:t>
        </x:is>
      </x:c>
      <x:c r="D18" s="13" t="inlineStr">
        <x:is>
          <x:t xml:space="preserve">Security Automation</x:t>
        </x:is>
      </x:c>
      <x:c r="E18" s="13" t="inlineStr">
        <x:is>
          <x:t xml:space="preserve">Boston, MA</x:t>
        </x:is>
      </x:c>
      <x:c r="F18" s="13" t="inlineStr">
        <x:is>
          <x:t xml:space="preserve">Engineer I</x:t>
        </x:is>
      </x:c>
      <x:c r="G18" s="13" t="inlineStr">
        <x:is>
          <x:t xml:space="preserve">No explicit no-sponsorship blocker found; confirm future H-1B</x:t>
        </x:is>
      </x:c>
      <x:c r="H18" s="13" t="inlineStr">
        <x:is>
          <x:t xml:space="preserve">Strong</x:t>
        </x:is>
      </x:c>
      <x:c r="I18" s="13" t="inlineStr">
        <x:is>
          <x:t xml:space="preserve">Not listed</x:t>
        </x:is>
      </x:c>
      <x:c r="J18" s="72" t="inlineStr">
        <x:is>
          <x:t xml:space="preserve">Apply →</x:t>
        </x:is>
      </x:c>
      <x:c r="K18" s="72" t="inlineStr">
        <x:is>
          <x:t xml:space="preserve">https://job-boards.greenhouse.io/tines/jobs/6220150004</x:t>
        </x:is>
      </x:c>
      <x:c r="L18" s="13" t="inlineStr">
        <x:is>
          <x:t xml:space="preserve">2026-10-26</x:t>
        </x:is>
      </x:c>
      <x:c r="M18" s="13" t="inlineStr">
        <x:is>
          <x:t xml:space="preserve">Not Applied</x:t>
        </x:is>
      </x:c>
      <x:c r="N18" s="13" t="str"/>
      <x:c r="O18" s="13" t="str"/>
    </x:row>
    <x:row r="19">
      <x:c r="A19" s="13" t="inlineStr">
        <x:is>
          <x:t xml:space="preserve">⭐ Strong Fit</x:t>
        </x:is>
      </x:c>
      <x:c r="B19" s="13" t="inlineStr">
        <x:is>
          <x:t xml:space="preserve">Trellix</x:t>
        </x:is>
      </x:c>
      <x:c r="C19" s="13" t="inlineStr">
        <x:is>
          <x:t xml:space="preserve">Junior Solutions Engineer</x:t>
        </x:is>
      </x:c>
      <x:c r="D19" s="13" t="inlineStr">
        <x:is>
          <x:t xml:space="preserve">Security Solutions</x:t>
        </x:is>
      </x:c>
      <x:c r="E19" s="13" t="inlineStr">
        <x:is>
          <x:t xml:space="preserve">Remote US</x:t>
        </x:is>
      </x:c>
      <x:c r="F19" s="13" t="inlineStr">
        <x:is>
          <x:t xml:space="preserve">Junior</x:t>
        </x:is>
      </x:c>
      <x:c r="G19" s="13" t="inlineStr">
        <x:is>
          <x:t xml:space="preserve">Cybersecurity employer; confirm exact-role sponsorship</x:t>
        </x:is>
      </x:c>
      <x:c r="H19" s="13" t="inlineStr">
        <x:is>
          <x:t xml:space="preserve">Strong</x:t>
        </x:is>
      </x:c>
      <x:c r="I19" s="13" t="inlineStr">
        <x:is>
          <x:t xml:space="preserve">Not listed</x:t>
        </x:is>
      </x:c>
      <x:c r="J19" s="72" t="inlineStr">
        <x:is>
          <x:t xml:space="preserve">Apply →</x:t>
        </x:is>
      </x:c>
      <x:c r="K19" s="72" t="inlineStr">
        <x:is>
          <x:t xml:space="preserve">https://careers.trellix.com/jobs/junior-solutions-engineer/</x:t>
        </x:is>
      </x:c>
      <x:c r="L19" s="13" t="inlineStr">
        <x:is>
          <x:t xml:space="preserve">2026-10-26</x:t>
        </x:is>
      </x:c>
      <x:c r="M19" s="13" t="inlineStr">
        <x:is>
          <x:t xml:space="preserve">Not Applied</x:t>
        </x:is>
      </x:c>
      <x:c r="N19" s="13" t="str"/>
      <x:c r="O19" s="13" t="str"/>
    </x:row>
    <x:row r="20">
      <x:c r="A20" s="13" t="inlineStr">
        <x:is>
          <x:t xml:space="preserve">⭐ Strong Fit</x:t>
        </x:is>
      </x:c>
      <x:c r="B20" s="13" t="inlineStr">
        <x:is>
          <x:t xml:space="preserve">Verkada</x:t>
        </x:is>
      </x:c>
      <x:c r="C20" s="13" t="inlineStr">
        <x:is>
          <x:t xml:space="preserve">Associate Solutions Engineer</x:t>
        </x:is>
      </x:c>
      <x:c r="D20" s="13" t="inlineStr">
        <x:is>
          <x:t xml:space="preserve">Security Solutions</x:t>
        </x:is>
      </x:c>
      <x:c r="E20" s="13" t="inlineStr">
        <x:is>
          <x:t xml:space="preserve">San Mateo, CA</x:t>
        </x:is>
      </x:c>
      <x:c r="F20" s="13" t="inlineStr">
        <x:is>
          <x:t xml:space="preserve">Associate</x:t>
        </x:is>
      </x:c>
      <x:c r="G20" s="13" t="inlineStr">
        <x:is>
          <x:t xml:space="preserve">Sponsor-capable employer; confirm exact requisition</x:t>
        </x:is>
      </x:c>
      <x:c r="H20" s="13" t="inlineStr">
        <x:is>
          <x:t xml:space="preserve">Strong</x:t>
        </x:is>
      </x:c>
      <x:c r="I20" s="13" t="inlineStr">
        <x:is>
          <x:t xml:space="preserve">Not listed</x:t>
        </x:is>
      </x:c>
      <x:c r="J20" s="72" t="inlineStr">
        <x:is>
          <x:t xml:space="preserve">Apply →</x:t>
        </x:is>
      </x:c>
      <x:c r="K20" s="72" t="inlineStr">
        <x:is>
          <x:t xml:space="preserve">https://job-boards.greenhouse.io/verkada/jobs/4135277007</x:t>
        </x:is>
      </x:c>
      <x:c r="L20" s="13" t="inlineStr">
        <x:is>
          <x:t xml:space="preserve">2026-10-26</x:t>
        </x:is>
      </x:c>
      <x:c r="M20" s="13" t="inlineStr">
        <x:is>
          <x:t xml:space="preserve">Not Applied</x:t>
        </x:is>
      </x:c>
      <x:c r="N20" s="13" t="str"/>
      <x:c r="O20" s="13" t="str"/>
    </x:row>
    <x:row r="21">
      <x:c r="A21" s="13" t="inlineStr">
        <x:is>
          <x:t xml:space="preserve">⭐ Strong Fit</x:t>
        </x:is>
      </x:c>
      <x:c r="B21" s="13" t="inlineStr">
        <x:is>
          <x:t xml:space="preserve">Arctic Wolf</x:t>
        </x:is>
      </x:c>
      <x:c r="C21" s="13" t="inlineStr">
        <x:is>
          <x:t xml:space="preserve">Professional Services Engineer 1</x:t>
        </x:is>
      </x:c>
      <x:c r="D21" s="13" t="inlineStr">
        <x:is>
          <x:t xml:space="preserve">Security Operations / Services</x:t>
        </x:is>
      </x:c>
      <x:c r="E21" s="13" t="inlineStr">
        <x:is>
          <x:t xml:space="preserve">US / North America</x:t>
        </x:is>
      </x:c>
      <x:c r="F21" s="13" t="inlineStr">
        <x:is>
          <x:t xml:space="preserve">Engineer 1</x:t>
        </x:is>
      </x:c>
      <x:c r="G21" s="13" t="inlineStr">
        <x:is>
          <x:t xml:space="preserve">Cybersecurity employer; confirm exact-role sponsorship</x:t>
        </x:is>
      </x:c>
      <x:c r="H21" s="13" t="inlineStr">
        <x:is>
          <x:t xml:space="preserve">Strong</x:t>
        </x:is>
      </x:c>
      <x:c r="I21" s="13" t="inlineStr">
        <x:is>
          <x:t xml:space="preserve">Not listed</x:t>
        </x:is>
      </x:c>
      <x:c r="J21" s="72" t="inlineStr">
        <x:is>
          <x:t xml:space="preserve">Apply →</x:t>
        </x:is>
      </x:c>
      <x:c r="K21" s="72" t="inlineStr">
        <x:is>
          <x:t xml:space="preserve">https://arcticwolf.wd1.myworkdayjobs.com/External/job/Professional-Services-Engineer-1_R26_1068</x:t>
        </x:is>
      </x:c>
      <x:c r="L21" s="13" t="inlineStr">
        <x:is>
          <x:t xml:space="preserve">2026-10-26</x:t>
        </x:is>
      </x:c>
      <x:c r="M21" s="13" t="inlineStr">
        <x:is>
          <x:t xml:space="preserve">Not Applied</x:t>
        </x:is>
      </x:c>
      <x:c r="N21" s="13" t="str"/>
      <x:c r="O21" s="13" t="str"/>
    </x:row>
    <x:row r="22">
      <x:c r="A22" s="13" t="inlineStr">
        <x:is>
          <x:t xml:space="preserve">⭐ Strong Fit</x:t>
        </x:is>
      </x:c>
      <x:c r="B22" s="13" t="inlineStr">
        <x:is>
          <x:t xml:space="preserve">ExtraHop</x:t>
        </x:is>
      </x:c>
      <x:c r="C22" s="13" t="inlineStr">
        <x:is>
          <x:t xml:space="preserve">Support Engineer I</x:t>
        </x:is>
      </x:c>
      <x:c r="D22" s="13" t="inlineStr">
        <x:is>
          <x:t xml:space="preserve">Network Detection &amp; Response</x:t>
        </x:is>
      </x:c>
      <x:c r="E22" s="13" t="inlineStr">
        <x:is>
          <x:t xml:space="preserve">Raleigh, NC</x:t>
        </x:is>
      </x:c>
      <x:c r="F22" s="13" t="inlineStr">
        <x:is>
          <x:t xml:space="preserve">Engineer I</x:t>
        </x:is>
      </x:c>
      <x:c r="G22" s="13" t="inlineStr">
        <x:is>
          <x:t xml:space="preserve">Cybersecurity employer; confirm exact-role sponsorship</x:t>
        </x:is>
      </x:c>
      <x:c r="H22" s="13" t="inlineStr">
        <x:is>
          <x:t xml:space="preserve">Strong</x:t>
        </x:is>
      </x:c>
      <x:c r="I22" s="13" t="inlineStr">
        <x:is>
          <x:t xml:space="preserve">Not listed</x:t>
        </x:is>
      </x:c>
      <x:c r="J22" s="72" t="inlineStr">
        <x:is>
          <x:t xml:space="preserve">Apply →</x:t>
        </x:is>
      </x:c>
      <x:c r="K22" s="72" t="inlineStr">
        <x:is>
          <x:t xml:space="preserve">https://job-boards.greenhouse.io/extrahopnetworks/jobs/6211107004</x:t>
        </x:is>
      </x:c>
      <x:c r="L22" s="13" t="inlineStr">
        <x:is>
          <x:t xml:space="preserve">2026-10-26</x:t>
        </x:is>
      </x:c>
      <x:c r="M22" s="13" t="inlineStr">
        <x:is>
          <x:t xml:space="preserve">Not Applied</x:t>
        </x:is>
      </x:c>
      <x:c r="N22" s="13" t="str"/>
      <x:c r="O22" s="13" t="str"/>
    </x:row>
    <x:row r="23">
      <x:c r="A23" s="13" t="inlineStr">
        <x:is>
          <x:t xml:space="preserve">⭐ Strong Fit</x:t>
        </x:is>
      </x:c>
      <x:c r="B23" s="13" t="inlineStr">
        <x:is>
          <x:t xml:space="preserve">ExtraHop</x:t>
        </x:is>
      </x:c>
      <x:c r="C23" s="13" t="inlineStr">
        <x:is>
          <x:t xml:space="preserve">Support Engineer I</x:t>
        </x:is>
      </x:c>
      <x:c r="D23" s="13" t="inlineStr">
        <x:is>
          <x:t xml:space="preserve">Network Detection &amp; Response</x:t>
        </x:is>
      </x:c>
      <x:c r="E23" s="13" t="inlineStr">
        <x:is>
          <x:t xml:space="preserve">Dallas, TX</x:t>
        </x:is>
      </x:c>
      <x:c r="F23" s="13" t="inlineStr">
        <x:is>
          <x:t xml:space="preserve">Engineer I</x:t>
        </x:is>
      </x:c>
      <x:c r="G23" s="13" t="inlineStr">
        <x:is>
          <x:t xml:space="preserve">Cybersecurity employer; confirm exact-role sponsorship</x:t>
        </x:is>
      </x:c>
      <x:c r="H23" s="13" t="inlineStr">
        <x:is>
          <x:t xml:space="preserve">Strong</x:t>
        </x:is>
      </x:c>
      <x:c r="I23" s="13" t="inlineStr">
        <x:is>
          <x:t xml:space="preserve">Not listed</x:t>
        </x:is>
      </x:c>
      <x:c r="J23" s="72" t="inlineStr">
        <x:is>
          <x:t xml:space="preserve">Apply →</x:t>
        </x:is>
      </x:c>
      <x:c r="K23" s="72" t="inlineStr">
        <x:is>
          <x:t xml:space="preserve">https://job-boards.greenhouse.io/extrahopnetworks/jobs/6216038004</x:t>
        </x:is>
      </x:c>
      <x:c r="L23" s="13" t="inlineStr">
        <x:is>
          <x:t xml:space="preserve">2026-10-26</x:t>
        </x:is>
      </x:c>
      <x:c r="M23" s="13" t="inlineStr">
        <x:is>
          <x:t xml:space="preserve">Not Applied</x:t>
        </x:is>
      </x:c>
      <x:c r="N23" s="13" t="str"/>
      <x:c r="O23" s="13" t="str"/>
    </x:row>
    <x:row r="24">
      <x:c r="A24" s="13" t="inlineStr">
        <x:is>
          <x:t xml:space="preserve">⭐ Strong Fit</x:t>
        </x:is>
      </x:c>
      <x:c r="B24" s="13" t="inlineStr">
        <x:is>
          <x:t xml:space="preserve">ExtraHop</x:t>
        </x:is>
      </x:c>
      <x:c r="C24" s="13" t="inlineStr">
        <x:is>
          <x:t xml:space="preserve">Support Engineer I</x:t>
        </x:is>
      </x:c>
      <x:c r="D24" s="13" t="inlineStr">
        <x:is>
          <x:t xml:space="preserve">Network Detection &amp; Response</x:t>
        </x:is>
      </x:c>
      <x:c r="E24" s="13" t="inlineStr">
        <x:is>
          <x:t xml:space="preserve">Seattle, WA</x:t>
        </x:is>
      </x:c>
      <x:c r="F24" s="13" t="inlineStr">
        <x:is>
          <x:t xml:space="preserve">Engineer I</x:t>
        </x:is>
      </x:c>
      <x:c r="G24" s="13" t="inlineStr">
        <x:is>
          <x:t xml:space="preserve">Cybersecurity employer; confirm exact-role sponsorship</x:t>
        </x:is>
      </x:c>
      <x:c r="H24" s="13" t="inlineStr">
        <x:is>
          <x:t xml:space="preserve">Strong</x:t>
        </x:is>
      </x:c>
      <x:c r="I24" s="13" t="inlineStr">
        <x:is>
          <x:t xml:space="preserve">Not listed</x:t>
        </x:is>
      </x:c>
      <x:c r="J24" s="72" t="inlineStr">
        <x:is>
          <x:t xml:space="preserve">Apply →</x:t>
        </x:is>
      </x:c>
      <x:c r="K24" s="72" t="inlineStr">
        <x:is>
          <x:t xml:space="preserve">https://job-boards.greenhouse.io/extrahopnetworks/jobs/6215921004</x:t>
        </x:is>
      </x:c>
      <x:c r="L24" s="13" t="inlineStr">
        <x:is>
          <x:t xml:space="preserve">2026-10-26</x:t>
        </x:is>
      </x:c>
      <x:c r="M24" s="13" t="inlineStr">
        <x:is>
          <x:t xml:space="preserve">Not Applied</x:t>
        </x:is>
      </x:c>
      <x:c r="N24" s="13" t="str"/>
      <x:c r="O24" s="13" t="str"/>
    </x:row>
    <x:row r="25">
      <x:c r="A25" s="13" t="inlineStr">
        <x:is>
          <x:t xml:space="preserve">⭐ Strong Fit</x:t>
        </x:is>
      </x:c>
      <x:c r="B25" s="13" t="inlineStr">
        <x:is>
          <x:t xml:space="preserve">TRM Labs</x:t>
        </x:is>
      </x:c>
      <x:c r="C25" s="13" t="inlineStr">
        <x:is>
          <x:t xml:space="preserve">University Grad – Product Engineer (2026-2027)</x:t>
        </x:is>
      </x:c>
      <x:c r="D25" s="13" t="inlineStr">
        <x:is>
          <x:t xml:space="preserve">Security / Blockchain Engineering</x:t>
        </x:is>
      </x:c>
      <x:c r="E25" s="13" t="inlineStr">
        <x:is>
          <x:t xml:space="preserve">Los Angeles, CA</x:t>
        </x:is>
      </x:c>
      <x:c r="F25" s="13" t="inlineStr">
        <x:is>
          <x:t xml:space="preserve">University Grad</x:t>
        </x:is>
      </x:c>
      <x:c r="G25" s="13" t="inlineStr">
        <x:is>
          <x:t xml:space="preserve">Sponsor-profile tech employer; confirm exact requisition</x:t>
        </x:is>
      </x:c>
      <x:c r="H25" s="13" t="inlineStr">
        <x:is>
          <x:t xml:space="preserve">Strong</x:t>
        </x:is>
      </x:c>
      <x:c r="I25" s="13" t="inlineStr">
        <x:is>
          <x:t xml:space="preserve">Not listed</x:t>
        </x:is>
      </x:c>
      <x:c r="J25" s="72" t="inlineStr">
        <x:is>
          <x:t xml:space="preserve">Apply →</x:t>
        </x:is>
      </x:c>
      <x:c r="K25" s="72" t="inlineStr">
        <x:is>
          <x:t xml:space="preserve">https://jobs.ashbyhq.com/trm-labs/0b8546c0-39ba-44db-aba5-3425bcb2e68d/</x:t>
        </x:is>
      </x:c>
      <x:c r="L25" s="13" t="inlineStr">
        <x:is>
          <x:t xml:space="preserve">2026-10-26</x:t>
        </x:is>
      </x:c>
      <x:c r="M25" s="13" t="inlineStr">
        <x:is>
          <x:t xml:space="preserve">Not Applied</x:t>
        </x:is>
      </x:c>
      <x:c r="N25" s="13" t="str"/>
      <x:c r="O25" s="13" t="str"/>
    </x:row>
    <x:row r="26">
      <x:c r="A26" s="13" t="inlineStr">
        <x:is>
          <x:t xml:space="preserve">⭐ Strong Fit</x:t>
        </x:is>
      </x:c>
      <x:c r="B26" s="13" t="inlineStr">
        <x:is>
          <x:t xml:space="preserve">ID.me</x:t>
        </x:is>
      </x:c>
      <x:c r="C26" s="13" t="inlineStr">
        <x:is>
          <x:t xml:space="preserve">Software Development Engineer II – Life Hub (New Grad / Early Career)</x:t>
        </x:is>
      </x:c>
      <x:c r="D26" s="13" t="inlineStr">
        <x:is>
          <x:t xml:space="preserve">Identity Security Engineering</x:t>
        </x:is>
      </x:c>
      <x:c r="E26" s="13" t="inlineStr">
        <x:is>
          <x:t xml:space="preserve">Mountain View, CA</x:t>
        </x:is>
      </x:c>
      <x:c r="F26" s="13" t="inlineStr">
        <x:is>
          <x:t xml:space="preserve">New Grad / Early Career</x:t>
        </x:is>
      </x:c>
      <x:c r="G26" s="13" t="inlineStr">
        <x:is>
          <x:t xml:space="preserve">Sponsor-capable tech employer; role-level confirmation needed</x:t>
        </x:is>
      </x:c>
      <x:c r="H26" s="13" t="inlineStr">
        <x:is>
          <x:t xml:space="preserve">Strong</x:t>
        </x:is>
      </x:c>
      <x:c r="I26" s="13" t="inlineStr">
        <x:is>
          <x:t xml:space="preserve">Not listed</x:t>
        </x:is>
      </x:c>
      <x:c r="J26" s="72" t="inlineStr">
        <x:is>
          <x:t xml:space="preserve">Apply →</x:t>
        </x:is>
      </x:c>
      <x:c r="K26" s="72" t="inlineStr">
        <x:is>
          <x:t xml:space="preserve">https://job-boards.greenhouse.io/idme/jobs/8011095003</x:t>
        </x:is>
      </x:c>
      <x:c r="L26" s="13" t="inlineStr">
        <x:is>
          <x:t xml:space="preserve">2026-10-26</x:t>
        </x:is>
      </x:c>
      <x:c r="M26" s="13" t="inlineStr">
        <x:is>
          <x:t xml:space="preserve">Not Applied</x:t>
        </x:is>
      </x:c>
      <x:c r="N26" s="13" t="str"/>
      <x:c r="O26" s="13" t="str"/>
    </x:row>
    <x:row r="27">
      <x:c r="A27" s="13" t="inlineStr">
        <x:is>
          <x:t xml:space="preserve">⭐ Strong Fit</x:t>
        </x:is>
      </x:c>
      <x:c r="B27" s="13" t="inlineStr">
        <x:is>
          <x:t xml:space="preserve">ID.me</x:t>
        </x:is>
      </x:c>
      <x:c r="C27" s="13" t="inlineStr">
        <x:is>
          <x:t xml:space="preserve">Software Engineer II, Developer Portal (New Grad / Early Career)</x:t>
        </x:is>
      </x:c>
      <x:c r="D27" s="13" t="inlineStr">
        <x:is>
          <x:t xml:space="preserve">Identity Security Engineering</x:t>
        </x:is>
      </x:c>
      <x:c r="E27" s="13" t="inlineStr">
        <x:is>
          <x:t xml:space="preserve">Mountain View, CA</x:t>
        </x:is>
      </x:c>
      <x:c r="F27" s="13" t="inlineStr">
        <x:is>
          <x:t xml:space="preserve">New Grad / Early Career</x:t>
        </x:is>
      </x:c>
      <x:c r="G27" s="13" t="inlineStr">
        <x:is>
          <x:t xml:space="preserve">Sponsor-capable tech employer; role-level confirmation needed</x:t>
        </x:is>
      </x:c>
      <x:c r="H27" s="13" t="inlineStr">
        <x:is>
          <x:t xml:space="preserve">Strong</x:t>
        </x:is>
      </x:c>
      <x:c r="I27" s="13" t="inlineStr">
        <x:is>
          <x:t xml:space="preserve">Not listed</x:t>
        </x:is>
      </x:c>
      <x:c r="J27" s="72" t="inlineStr">
        <x:is>
          <x:t xml:space="preserve">Apply →</x:t>
        </x:is>
      </x:c>
      <x:c r="K27" s="72" t="inlineStr">
        <x:is>
          <x:t xml:space="preserve">https://job-boards.greenhouse.io/idme/jobs/8011089003</x:t>
        </x:is>
      </x:c>
      <x:c r="L27" s="13" t="inlineStr">
        <x:is>
          <x:t xml:space="preserve">2026-10-26</x:t>
        </x:is>
      </x:c>
      <x:c r="M27" s="13" t="inlineStr">
        <x:is>
          <x:t xml:space="preserve">Not Applied</x:t>
        </x:is>
      </x:c>
      <x:c r="N27" s="13" t="str"/>
      <x:c r="O27" s="13" t="str"/>
    </x:row>
    <x:row r="28">
      <x:c r="A28" s="13" t="inlineStr">
        <x:is>
          <x:t xml:space="preserve">⭐ Strong Fit</x:t>
        </x:is>
      </x:c>
      <x:c r="B28" s="13" t="inlineStr">
        <x:is>
          <x:t xml:space="preserve">Fortinet</x:t>
        </x:is>
      </x:c>
      <x:c r="C28" s="13" t="inlineStr">
        <x:is>
          <x:t xml:space="preserve">Early Careers: Software Development Engineer</x:t>
        </x:is>
      </x:c>
      <x:c r="D28" s="13" t="inlineStr">
        <x:is>
          <x:t xml:space="preserve">Engineering @ Cybersecurity Company</x:t>
        </x:is>
      </x:c>
      <x:c r="E28" s="13" t="inlineStr">
        <x:is>
          <x:t xml:space="preserve">Sunnyvale, CA</x:t>
        </x:is>
      </x:c>
      <x:c r="F28" s="13" t="inlineStr">
        <x:is>
          <x:t xml:space="preserve">Early Careers</x:t>
        </x:is>
      </x:c>
      <x:c r="G28" s="13" t="inlineStr">
        <x:is>
          <x:t xml:space="preserve">Strong sponsor-profile security employer; verify exact role</x:t>
        </x:is>
      </x:c>
      <x:c r="H28" s="13" t="inlineStr">
        <x:is>
          <x:t xml:space="preserve">Strong</x:t>
        </x:is>
      </x:c>
      <x:c r="I28" s="13" t="inlineStr">
        <x:is>
          <x:t xml:space="preserve">Not listed</x:t>
        </x:is>
      </x:c>
      <x:c r="J28" s="72" t="inlineStr">
        <x:is>
          <x:t xml:space="preserve">Apply →</x:t>
        </x:is>
      </x:c>
      <x:c r="K28" s="72" t="inlineStr">
        <x:is>
          <x:t xml:space="preserve">https://edel.fa.us2.oraclecloud.com/hcmUI/CandidateExperience/en/sites/CX_2001/job/24668</x:t>
        </x:is>
      </x:c>
      <x:c r="L28" s="13" t="inlineStr">
        <x:is>
          <x:t xml:space="preserve">2026-10-26</x:t>
        </x:is>
      </x:c>
      <x:c r="M28" s="13" t="inlineStr">
        <x:is>
          <x:t xml:space="preserve">Not Applied</x:t>
        </x:is>
      </x:c>
      <x:c r="N28" s="13" t="str"/>
      <x:c r="O28" s="13" t="str"/>
    </x:row>
    <x:row r="29">
      <x:c r="A29" s="13" t="inlineStr">
        <x:is>
          <x:t xml:space="preserve">🔥 Apply First</x:t>
        </x:is>
      </x:c>
      <x:c r="B29" s="13" t="inlineStr">
        <x:is>
          <x:t xml:space="preserve">1Password</x:t>
        </x:is>
      </x:c>
      <x:c r="C29" s="13" t="inlineStr">
        <x:is>
          <x:t xml:space="preserve">Security Intern, Threat Operations - Winter 2027</x:t>
        </x:is>
      </x:c>
      <x:c r="D29" s="13" t="inlineStr">
        <x:is>
          <x:t xml:space="preserve">Threat Operations / IR</x:t>
        </x:is>
      </x:c>
      <x:c r="E29" s="13" t="inlineStr">
        <x:is>
          <x:t xml:space="preserve">Remote US / Canada</x:t>
        </x:is>
      </x:c>
      <x:c r="F29" s="13" t="inlineStr">
        <x:is>
          <x:t xml:space="preserve">Winter 2027 Intern</x:t>
        </x:is>
      </x:c>
      <x:c r="G29" s="13" t="inlineStr">
        <x:is>
          <x:t xml:space="preserve">CPT/work authorization must be confirmed; no explicit blocker surfaced</x:t>
        </x:is>
      </x:c>
      <x:c r="H29" s="13" t="inlineStr">
        <x:is>
          <x:t xml:space="preserve">Excellent</x:t>
        </x:is>
      </x:c>
      <x:c r="I29" s="13" t="inlineStr">
        <x:is>
          <x:t xml:space="preserve">Not listed</x:t>
        </x:is>
      </x:c>
      <x:c r="J29" s="72" t="inlineStr">
        <x:is>
          <x:t xml:space="preserve">Apply →</x:t>
        </x:is>
      </x:c>
      <x:c r="K29" s="72" t="inlineStr">
        <x:is>
          <x:t xml:space="preserve">https://jobs.ashbyhq.com/1password/aac7eea6-ed7c-4871-bbf2-7cb2d5138847</x:t>
        </x:is>
      </x:c>
      <x:c r="L29" s="13" t="inlineStr">
        <x:is>
          <x:t xml:space="preserve">2026-10-26</x:t>
        </x:is>
      </x:c>
      <x:c r="M29" s="13" t="inlineStr">
        <x:is>
          <x:t xml:space="preserve">Not Applied</x:t>
        </x:is>
      </x:c>
      <x:c r="N29" s="13" t="str"/>
      <x:c r="O29" s="13" t="str"/>
    </x:row>
    <x:row r="30">
      <x:c r="A30" s="13" t="inlineStr">
        <x:is>
          <x:t xml:space="preserve">⭐ Strong Fit</x:t>
        </x:is>
      </x:c>
      <x:c r="B30" s="13" t="inlineStr">
        <x:is>
          <x:t xml:space="preserve">1Password</x:t>
        </x:is>
      </x:c>
      <x:c r="C30" s="13" t="inlineStr">
        <x:is>
          <x:t xml:space="preserve">Developer Intern, Data Security - Winter 2027</x:t>
        </x:is>
      </x:c>
      <x:c r="D30" s="13" t="inlineStr">
        <x:is>
          <x:t xml:space="preserve">Data Security</x:t>
        </x:is>
      </x:c>
      <x:c r="E30" s="13" t="inlineStr">
        <x:is>
          <x:t xml:space="preserve">Remote US / Canada</x:t>
        </x:is>
      </x:c>
      <x:c r="F30" s="13" t="inlineStr">
        <x:is>
          <x:t xml:space="preserve">Winter 2027 Intern</x:t>
        </x:is>
      </x:c>
      <x:c r="G30" s="13" t="inlineStr">
        <x:is>
          <x:t xml:space="preserve">CPT/work authorization must be confirmed; no explicit blocker surfaced</x:t>
        </x:is>
      </x:c>
      <x:c r="H30" s="13" t="inlineStr">
        <x:is>
          <x:t xml:space="preserve">Excellent</x:t>
        </x:is>
      </x:c>
      <x:c r="I30" s="13" t="inlineStr">
        <x:is>
          <x:t xml:space="preserve">Not listed</x:t>
        </x:is>
      </x:c>
      <x:c r="J30" s="72" t="inlineStr">
        <x:is>
          <x:t xml:space="preserve">Apply →</x:t>
        </x:is>
      </x:c>
      <x:c r="K30" s="72" t="inlineStr">
        <x:is>
          <x:t xml:space="preserve">https://jobs.ashbyhq.com/1password/8af1359a-c8a2-492b-b567-ae8ae184a8a1</x:t>
        </x:is>
      </x:c>
      <x:c r="L30" s="13" t="inlineStr">
        <x:is>
          <x:t xml:space="preserve">2026-10-26</x:t>
        </x:is>
      </x:c>
      <x:c r="M30" s="13" t="inlineStr">
        <x:is>
          <x:t xml:space="preserve">Not Applied</x:t>
        </x:is>
      </x:c>
      <x:c r="N30" s="13" t="str"/>
      <x:c r="O30" s="13" t="str"/>
    </x:row>
    <x:row r="31">
      <x:c r="A31" s="13" t="inlineStr">
        <x:is>
          <x:t xml:space="preserve">⭐ Strong Fit</x:t>
        </x:is>
      </x:c>
      <x:c r="B31" s="13" t="inlineStr">
        <x:is>
          <x:t xml:space="preserve">1Password</x:t>
        </x:is>
      </x:c>
      <x:c r="C31" s="13" t="inlineStr">
        <x:is>
          <x:t xml:space="preserve">Developer Intern, Machine Identity - Winter 2027</x:t>
        </x:is>
      </x:c>
      <x:c r="D31" s="13" t="inlineStr">
        <x:is>
          <x:t xml:space="preserve">Identity / IAM</x:t>
        </x:is>
      </x:c>
      <x:c r="E31" s="13" t="inlineStr">
        <x:is>
          <x:t xml:space="preserve">Remote US / Canada</x:t>
        </x:is>
      </x:c>
      <x:c r="F31" s="13" t="inlineStr">
        <x:is>
          <x:t xml:space="preserve">Winter 2027 Intern</x:t>
        </x:is>
      </x:c>
      <x:c r="G31" s="13" t="inlineStr">
        <x:is>
          <x:t xml:space="preserve">CPT/work authorization must be confirmed; no explicit blocker surfaced</x:t>
        </x:is>
      </x:c>
      <x:c r="H31" s="13" t="inlineStr">
        <x:is>
          <x:t xml:space="preserve">Excellent</x:t>
        </x:is>
      </x:c>
      <x:c r="I31" s="13" t="inlineStr">
        <x:is>
          <x:t xml:space="preserve">Not listed</x:t>
        </x:is>
      </x:c>
      <x:c r="J31" s="72" t="inlineStr">
        <x:is>
          <x:t xml:space="preserve">Apply →</x:t>
        </x:is>
      </x:c>
      <x:c r="K31" s="72" t="inlineStr">
        <x:is>
          <x:t xml:space="preserve">https://jobs.ashbyhq.com/1password/6a6869a7-98d2-43e3-b9b5-b68fa4daeb9f</x:t>
        </x:is>
      </x:c>
      <x:c r="L31" s="13" t="inlineStr">
        <x:is>
          <x:t xml:space="preserve">2026-10-26</x:t>
        </x:is>
      </x:c>
      <x:c r="M31" s="13" t="inlineStr">
        <x:is>
          <x:t xml:space="preserve">Not Applied</x:t>
        </x:is>
      </x:c>
      <x:c r="N31" s="13" t="str"/>
      <x:c r="O31" s="13" t="str"/>
    </x:row>
    <x:row r="32">
      <x:c r="A32" s="13" t="inlineStr">
        <x:is>
          <x:t xml:space="preserve">🔥 Apply First</x:t>
        </x:is>
      </x:c>
      <x:c r="B32" s="13" t="inlineStr">
        <x:is>
          <x:t xml:space="preserve">Ciena</x:t>
        </x:is>
      </x:c>
      <x:c r="C32" s="13" t="inlineStr">
        <x:is>
          <x:t xml:space="preserve">Software Engineer (Security) - Intern (Winter 2027)</x:t>
        </x:is>
      </x:c>
      <x:c r="D32" s="13" t="inlineStr">
        <x:is>
          <x:t xml:space="preserve">Product / Network Security</x:t>
        </x:is>
      </x:c>
      <x:c r="E32" s="13" t="inlineStr">
        <x:is>
          <x:t xml:space="preserve">Atlanta, GA</x:t>
        </x:is>
      </x:c>
      <x:c r="F32" s="13" t="inlineStr">
        <x:is>
          <x:t xml:space="preserve">Winter 2027 Intern</x:t>
        </x:is>
      </x:c>
      <x:c r="G32" s="13" t="inlineStr">
        <x:is>
          <x:t xml:space="preserve">CPT eligibility must be confirmed; no explicit sponsorship prohibition found</x:t>
        </x:is>
      </x:c>
      <x:c r="H32" s="13" t="inlineStr">
        <x:is>
          <x:t xml:space="preserve">Excellent</x:t>
        </x:is>
      </x:c>
      <x:c r="I32" s="13" t="inlineStr">
        <x:is>
          <x:t xml:space="preserve">Not listed</x:t>
        </x:is>
      </x:c>
      <x:c r="J32" s="72" t="inlineStr">
        <x:is>
          <x:t xml:space="preserve">Apply →</x:t>
        </x:is>
      </x:c>
      <x:c r="K32" s="72" t="inlineStr">
        <x:is>
          <x:t xml:space="preserve">https://ciena.wd5.myworkdayjobs.com/careers/job/Atlanta/Software-Engineer--Security----Intern--Winter-2027-_R031926</x:t>
        </x:is>
      </x:c>
      <x:c r="L32" s="13" t="inlineStr">
        <x:is>
          <x:t xml:space="preserve">2026-10-26</x:t>
        </x:is>
      </x:c>
      <x:c r="M32" s="13" t="inlineStr">
        <x:is>
          <x:t xml:space="preserve">Not Applied</x:t>
        </x:is>
      </x:c>
      <x:c r="N32" s="13" t="str"/>
      <x:c r="O32" s="13" t="str"/>
    </x:row>
    <x:row r="33">
      <x:c r="A33" s="13" t="inlineStr">
        <x:is>
          <x:t xml:space="preserve">🔥 Apply First</x:t>
        </x:is>
      </x:c>
      <x:c r="B33" s="13" t="inlineStr">
        <x:is>
          <x:t xml:space="preserve">Georgia Tech Research Institute</x:t>
        </x:is>
      </x:c>
      <x:c r="C33" s="13" t="inlineStr">
        <x:is>
          <x:t xml:space="preserve">General Cybersecurity Graduate Intern - CIPHER - Spring 2027</x:t>
        </x:is>
      </x:c>
      <x:c r="D33" s="13" t="inlineStr">
        <x:is>
          <x:t xml:space="preserve">Cybersecurity Research</x:t>
        </x:is>
      </x:c>
      <x:c r="E33" s="13" t="inlineStr">
        <x:is>
          <x:t xml:space="preserve">Atlanta, GA</x:t>
        </x:is>
      </x:c>
      <x:c r="F33" s="13" t="inlineStr">
        <x:is>
          <x:t xml:space="preserve">Spring 2027 Graduate Intern</x:t>
        </x:is>
      </x:c>
      <x:c r="G33" s="13" t="inlineStr">
        <x:is>
          <x:t xml:space="preserve">No U.S. citizenship requirement / no clearance requirement on posting</x:t>
        </x:is>
      </x:c>
      <x:c r="H33" s="13" t="inlineStr">
        <x:is>
          <x:t xml:space="preserve">Excellent</x:t>
        </x:is>
      </x:c>
      <x:c r="I33" s="13" t="inlineStr">
        <x:is>
          <x:t xml:space="preserve">Not listed</x:t>
        </x:is>
      </x:c>
      <x:c r="J33" s="72" t="inlineStr">
        <x:is>
          <x:t xml:space="preserve">Apply →</x:t>
        </x:is>
      </x:c>
      <x:c r="K33" s="72" t="inlineStr">
        <x:is>
          <x:t xml:space="preserve">https://careers.gtri.gatech.edu/jobs/general-cybersecurity-graduate-intern-cipher-spring-2027-atlanta-georgia-united-states</x:t>
        </x:is>
      </x:c>
      <x:c r="L33" s="13" t="inlineStr">
        <x:is>
          <x:t xml:space="preserve">2026-10-26</x:t>
        </x:is>
      </x:c>
      <x:c r="M33" s="13" t="inlineStr">
        <x:is>
          <x:t xml:space="preserve">Not Applied</x:t>
        </x:is>
      </x:c>
      <x:c r="N33" s="13" t="str"/>
      <x:c r="O33" s="13" t="str"/>
    </x:row>
    <x:row r="34">
      <x:c r="A34" s="13" t="inlineStr">
        <x:is>
          <x:t xml:space="preserve">⭐ Strong Fit</x:t>
        </x:is>
      </x:c>
      <x:c r="B34" s="13" t="inlineStr">
        <x:is>
          <x:t xml:space="preserve">CertiK</x:t>
        </x:is>
      </x:c>
      <x:c r="C34" s="13" t="inlineStr">
        <x:is>
          <x:t xml:space="preserve">Security Research Internship</x:t>
        </x:is>
      </x:c>
      <x:c r="D34" s="13" t="inlineStr">
        <x:is>
          <x:t xml:space="preserve">Security Research / Blockchain</x:t>
        </x:is>
      </x:c>
      <x:c r="E34" s="13" t="inlineStr">
        <x:is>
          <x:t xml:space="preserve">New York, NY</x:t>
        </x:is>
      </x:c>
      <x:c r="F34" s="13" t="inlineStr">
        <x:is>
          <x:t xml:space="preserve">Internship</x:t>
        </x:is>
      </x:c>
      <x:c r="G34" s="13" t="inlineStr">
        <x:is>
          <x:t xml:space="preserve">Confirm CPT / future sponsorship with recruiter</x:t>
        </x:is>
      </x:c>
      <x:c r="H34" s="13" t="inlineStr">
        <x:is>
          <x:t xml:space="preserve">Strong</x:t>
        </x:is>
      </x:c>
      <x:c r="I34" s="13" t="inlineStr">
        <x:is>
          <x:t xml:space="preserve">$3K–$8K/month</x:t>
        </x:is>
      </x:c>
      <x:c r="J34" s="72" t="inlineStr">
        <x:is>
          <x:t xml:space="preserve">Apply →</x:t>
        </x:is>
      </x:c>
      <x:c r="K34" s="72" t="inlineStr">
        <x:is>
          <x:t xml:space="preserve">https://jobs.lever.co/certik/148afcf8-106b-42fa-a516-6bb8f1184e33</x:t>
        </x:is>
      </x:c>
      <x:c r="L34" s="13" t="inlineStr">
        <x:is>
          <x:t xml:space="preserve">2026-10-26</x:t>
        </x:is>
      </x:c>
      <x:c r="M34" s="13" t="inlineStr">
        <x:is>
          <x:t xml:space="preserve">Not Applied</x:t>
        </x:is>
      </x:c>
      <x:c r="N34" s="13" t="str"/>
      <x:c r="O34" s="13" t="str"/>
    </x:row>
    <x:row r="35">
      <x:c r="A35" s="13" t="inlineStr">
        <x:is>
          <x:t xml:space="preserve">⭐ Strong Fit</x:t>
        </x:is>
      </x:c>
      <x:c r="B35" s="13" t="inlineStr">
        <x:is>
          <x:t xml:space="preserve">Illumio</x:t>
        </x:is>
      </x:c>
      <x:c r="C35" s="13" t="inlineStr">
        <x:is>
          <x:t xml:space="preserve">Engineering Intern, Product Security</x:t>
        </x:is>
      </x:c>
      <x:c r="D35" s="13" t="inlineStr">
        <x:is>
          <x:t xml:space="preserve">Product Security</x:t>
        </x:is>
      </x:c>
      <x:c r="E35" s="13" t="inlineStr">
        <x:is>
          <x:t xml:space="preserve">Sunnyvale, CA</x:t>
        </x:is>
      </x:c>
      <x:c r="F35" s="13" t="inlineStr">
        <x:is>
          <x:t xml:space="preserve">Summer 2027 Intern</x:t>
        </x:is>
      </x:c>
      <x:c r="G35" s="13" t="inlineStr">
        <x:is>
          <x:t xml:space="preserve">Exact posting fits Winter 2026/Spring 2027 graduation; confirm visa handling</x:t>
        </x:is>
      </x:c>
      <x:c r="H35" s="13" t="inlineStr">
        <x:is>
          <x:t xml:space="preserve">Strong</x:t>
        </x:is>
      </x:c>
      <x:c r="I35" s="13" t="inlineStr">
        <x:is>
          <x:t xml:space="preserve">Not listed</x:t>
        </x:is>
      </x:c>
      <x:c r="J35" s="72" t="inlineStr">
        <x:is>
          <x:t xml:space="preserve">Apply →</x:t>
        </x:is>
      </x:c>
      <x:c r="K35" s="72" t="inlineStr">
        <x:is>
          <x:t xml:space="preserve">https://jobs.ashbyhq.com/illumio/8708e622-900e-458a-96b3-ae339329a56d</x:t>
        </x:is>
      </x:c>
      <x:c r="L35" s="13" t="inlineStr">
        <x:is>
          <x:t xml:space="preserve">2026-10-26</x:t>
        </x:is>
      </x:c>
      <x:c r="M35" s="13" t="inlineStr">
        <x:is>
          <x:t xml:space="preserve">Not Applied</x:t>
        </x:is>
      </x:c>
      <x:c r="N35" s="13" t="str"/>
      <x:c r="O35" s="13" t="str"/>
    </x:row>
    <x:row r="36">
      <x:c r="A36" s="13" t="inlineStr">
        <x:is>
          <x:t xml:space="preserve">🔥 Apply First</x:t>
        </x:is>
      </x:c>
      <x:c r="B36" s="13" t="inlineStr">
        <x:is>
          <x:t xml:space="preserve">Snowflake</x:t>
        </x:is>
      </x:c>
      <x:c r="C36" s="13" t="inlineStr">
        <x:is>
          <x:t xml:space="preserve">Security Incident Response Engineer</x:t>
        </x:is>
      </x:c>
      <x:c r="D36" s="13" t="inlineStr">
        <x:is>
          <x:t xml:space="preserve">Incident Response / SecOps</x:t>
        </x:is>
      </x:c>
      <x:c r="E36" s="13" t="inlineStr">
        <x:is>
          <x:t xml:space="preserve">California / Bay Area</x:t>
        </x:is>
      </x:c>
      <x:c r="F36" s="13" t="inlineStr">
        <x:is>
          <x:t xml:space="preserve">2+ years preferred</x:t>
        </x:is>
      </x:c>
      <x:c r="G36" s="13" t="inlineStr">
        <x:is>
          <x:t xml:space="preserve">Strong sponsor-profile employer; exact role sponsorship not guaranteed</x:t>
        </x:is>
      </x:c>
      <x:c r="H36" s="13" t="inlineStr">
        <x:is>
          <x:t xml:space="preserve">Excellent</x:t>
        </x:is>
      </x:c>
      <x:c r="I36" s="13" t="inlineStr">
        <x:is>
          <x:t xml:space="preserve">$143K–$205.8K</x:t>
        </x:is>
      </x:c>
      <x:c r="J36" s="72" t="inlineStr">
        <x:is>
          <x:t xml:space="preserve">Apply →</x:t>
        </x:is>
      </x:c>
      <x:c r="K36" s="72" t="inlineStr">
        <x:is>
          <x:t xml:space="preserve">https://careers.snowflake.com/us/en/job/7139a002-dbe3-4693-8cbc-5b780db1d29d/Incident-Response-Engineer</x:t>
        </x:is>
      </x:c>
      <x:c r="L36" s="13" t="inlineStr">
        <x:is>
          <x:t xml:space="preserve">2026-10-26</x:t>
        </x:is>
      </x:c>
      <x:c r="M36" s="13" t="inlineStr">
        <x:is>
          <x:t xml:space="preserve">Not Applied</x:t>
        </x:is>
      </x:c>
      <x:c r="N36" s="13" t="str"/>
      <x:c r="O36" s="13" t="str"/>
    </x:row>
    <x:row r="37">
      <x:c r="A37" s="13" t="inlineStr">
        <x:is>
          <x:t xml:space="preserve">🔥 Apply First</x:t>
        </x:is>
      </x:c>
      <x:c r="B37" s="13" t="inlineStr">
        <x:is>
          <x:t xml:space="preserve">Google</x:t>
        </x:is>
      </x:c>
      <x:c r="C37" s="13" t="inlineStr">
        <x:is>
          <x:t xml:space="preserve">Cyber Defense Detection Engineer, Mandiant, Google Cloud</x:t>
        </x:is>
      </x:c>
      <x:c r="D37" s="13" t="inlineStr">
        <x:is>
          <x:t xml:space="preserve">Detection Engineering / SIEM</x:t>
        </x:is>
      </x:c>
      <x:c r="E37" s="13" t="inlineStr">
        <x:is>
          <x:t xml:space="preserve">Remote US / Ohio</x:t>
        </x:is>
      </x:c>
      <x:c r="F37" s="13" t="inlineStr">
        <x:is>
          <x:t xml:space="preserve">3+ years</x:t>
        </x:is>
      </x:c>
      <x:c r="G37" s="13" t="inlineStr">
        <x:is>
          <x:t xml:space="preserve">Very strong H-1B sponsor-profile employer</x:t>
        </x:is>
      </x:c>
      <x:c r="H37" s="13" t="inlineStr">
        <x:is>
          <x:t xml:space="preserve">Excellent</x:t>
        </x:is>
      </x:c>
      <x:c r="I37" s="13" t="inlineStr">
        <x:is>
          <x:t xml:space="preserve">$112K–$161K</x:t>
        </x:is>
      </x:c>
      <x:c r="J37" s="72" t="inlineStr">
        <x:is>
          <x:t xml:space="preserve">Apply →</x:t>
        </x:is>
      </x:c>
      <x:c r="K37" s="72" t="inlineStr">
        <x:is>
          <x:t xml:space="preserve">https://www.google.com/about/careers/applications/jobs/results/87068925161808582-cyber-defense-detection-engineer-mandiant-google-cloud</x:t>
        </x:is>
      </x:c>
      <x:c r="L37" s="13" t="inlineStr">
        <x:is>
          <x:t xml:space="preserve">2026-10-26</x:t>
        </x:is>
      </x:c>
      <x:c r="M37" s="13" t="inlineStr">
        <x:is>
          <x:t xml:space="preserve">Not Applied</x:t>
        </x:is>
      </x:c>
      <x:c r="N37" s="13" t="str"/>
      <x:c r="O37" s="13" t="str"/>
    </x:row>
    <x:row r="38">
      <x:c r="A38" s="13" t="inlineStr">
        <x:is>
          <x:t xml:space="preserve">🔥 Apply First</x:t>
        </x:is>
      </x:c>
      <x:c r="B38" s="13" t="inlineStr">
        <x:is>
          <x:t xml:space="preserve">Google</x:t>
        </x:is>
      </x:c>
      <x:c r="C38" s="13" t="inlineStr">
        <x:is>
          <x:t xml:space="preserve">Security Engineer II, Core, Enterprise Access Security Engineering</x:t>
        </x:is>
      </x:c>
      <x:c r="D38" s="13" t="inlineStr">
        <x:is>
          <x:t xml:space="preserve">Security Engineering / IAM</x:t>
        </x:is>
      </x:c>
      <x:c r="E38" s="13" t="inlineStr">
        <x:is>
          <x:t xml:space="preserve">San Jose, CA</x:t>
        </x:is>
      </x:c>
      <x:c r="F38" s="13" t="inlineStr">
        <x:is>
          <x:t xml:space="preserve">1+ year</x:t>
        </x:is>
      </x:c>
      <x:c r="G38" s="13" t="inlineStr">
        <x:is>
          <x:t xml:space="preserve">Very strong H-1B sponsor-profile employer</x:t>
        </x:is>
      </x:c>
      <x:c r="H38" s="13" t="inlineStr">
        <x:is>
          <x:t xml:space="preserve">Excellent</x:t>
        </x:is>
      </x:c>
      <x:c r="I38" s="13" t="inlineStr">
        <x:is>
          <x:t xml:space="preserve">$123K–$174K</x:t>
        </x:is>
      </x:c>
      <x:c r="J38" s="72" t="inlineStr">
        <x:is>
          <x:t xml:space="preserve">Apply →</x:t>
        </x:is>
      </x:c>
      <x:c r="K38" s="72" t="inlineStr">
        <x:is>
          <x:t xml:space="preserve">https://www.google.com/about/careers/applications/jobs/results/125813288268112582-security-engineer-ii-core-enterprise-access-security-engineering</x:t>
        </x:is>
      </x:c>
      <x:c r="L38" s="13" t="inlineStr">
        <x:is>
          <x:t xml:space="preserve">2026-10-26</x:t>
        </x:is>
      </x:c>
      <x:c r="M38" s="13" t="inlineStr">
        <x:is>
          <x:t xml:space="preserve">Not Applied</x:t>
        </x:is>
      </x:c>
      <x:c r="N38" s="13" t="str"/>
      <x:c r="O38" s="13" t="str"/>
    </x:row>
    <x:row r="39">
      <x:c r="A39" s="13" t="inlineStr">
        <x:is>
          <x:t xml:space="preserve">🔥 Apply First</x:t>
        </x:is>
      </x:c>
      <x:c r="B39" s="13" t="inlineStr">
        <x:is>
          <x:t xml:space="preserve">Google</x:t>
        </x:is>
      </x:c>
      <x:c r="C39" s="13" t="inlineStr">
        <x:is>
          <x:t xml:space="preserve">Security Engineer III, Cloud Security Controls</x:t>
        </x:is>
      </x:c>
      <x:c r="D39" s="13" t="inlineStr">
        <x:is>
          <x:t xml:space="preserve">Cloud Security</x:t>
        </x:is>
      </x:c>
      <x:c r="E39" s="13" t="inlineStr">
        <x:is>
          <x:t xml:space="preserve">New York, NY / San Jose, CA</x:t>
        </x:is>
      </x:c>
      <x:c r="F39" s="13" t="inlineStr">
        <x:is>
          <x:t xml:space="preserve">2+ years</x:t>
        </x:is>
      </x:c>
      <x:c r="G39" s="13" t="inlineStr">
        <x:is>
          <x:t xml:space="preserve">Very strong H-1B sponsor-profile employer</x:t>
        </x:is>
      </x:c>
      <x:c r="H39" s="13" t="inlineStr">
        <x:is>
          <x:t xml:space="preserve">Excellent</x:t>
        </x:is>
      </x:c>
      <x:c r="I39" s="13" t="inlineStr">
        <x:is>
          <x:t xml:space="preserve">Not listed</x:t>
        </x:is>
      </x:c>
      <x:c r="J39" s="72" t="inlineStr">
        <x:is>
          <x:t xml:space="preserve">Apply →</x:t>
        </x:is>
      </x:c>
      <x:c r="K39" s="72" t="inlineStr">
        <x:is>
          <x:t xml:space="preserve">https://www.google.com/about/careers/applications/jobs/results/136535844847526598-security-engineer-iii-cloud-security-controls</x:t>
        </x:is>
      </x:c>
      <x:c r="L39" s="13" t="inlineStr">
        <x:is>
          <x:t xml:space="preserve">2026-10-26</x:t>
        </x:is>
      </x:c>
      <x:c r="M39" s="13" t="inlineStr">
        <x:is>
          <x:t xml:space="preserve">Not Applied</x:t>
        </x:is>
      </x:c>
      <x:c r="N39" s="13" t="str"/>
      <x:c r="O39" s="13" t="str"/>
    </x:row>
    <x:row r="40">
      <x:c r="A40" s="13" t="inlineStr">
        <x:is>
          <x:t xml:space="preserve">🔥 Apply First</x:t>
        </x:is>
      </x:c>
      <x:c r="B40" s="13" t="inlineStr">
        <x:is>
          <x:t xml:space="preserve">Travelers</x:t>
        </x:is>
      </x:c>
      <x:c r="C40" s="13" t="inlineStr">
        <x:is>
          <x:t xml:space="preserve">Cybersecurity Ops Technologist I - Splunk SIEM Engineer</x:t>
        </x:is>
      </x:c>
      <x:c r="D40" s="13" t="inlineStr">
        <x:is>
          <x:t xml:space="preserve">SIEM / Detection</x:t>
        </x:is>
      </x:c>
      <x:c r="E40" s="13" t="inlineStr">
        <x:is>
          <x:t xml:space="preserve">Atlanta, GA</x:t>
        </x:is>
      </x:c>
      <x:c r="F40" s="13" t="inlineStr">
        <x:is>
          <x:t xml:space="preserve">2+ years</x:t>
        </x:is>
      </x:c>
      <x:c r="G40" s="13" t="inlineStr">
        <x:is>
          <x:t xml:space="preserve">No explicit no-sponsorship statement surfaced; exact-role verification recommended</x:t>
        </x:is>
      </x:c>
      <x:c r="H40" s="13" t="inlineStr">
        <x:is>
          <x:t xml:space="preserve">Excellent</x:t>
        </x:is>
      </x:c>
      <x:c r="I40" s="13" t="inlineStr">
        <x:is>
          <x:t xml:space="preserve">$99.1K–$163.4K</x:t>
        </x:is>
      </x:c>
      <x:c r="J40" s="72" t="inlineStr">
        <x:is>
          <x:t xml:space="preserve">Apply →</x:t>
        </x:is>
      </x:c>
      <x:c r="K40" s="72" t="inlineStr">
        <x:is>
          <x:t xml:space="preserve">https://travelers.wd5.myworkdayjobs.com/External/job/CT---Hartford/Cybersecurity-Ops-Technologist---Splunk-SIEM-Engineer_R-51597</x:t>
        </x:is>
      </x:c>
      <x:c r="L40" s="13" t="inlineStr">
        <x:is>
          <x:t xml:space="preserve">2026-10-26</x:t>
        </x:is>
      </x:c>
      <x:c r="M40" s="13" t="inlineStr">
        <x:is>
          <x:t xml:space="preserve">Not Applied</x:t>
        </x:is>
      </x:c>
      <x:c r="N40" s="13" t="str"/>
      <x:c r="O40" s="13" t="str"/>
    </x:row>
    <x:row r="41">
      <x:c r="A41" s="13" t="inlineStr">
        <x:is>
          <x:t xml:space="preserve">🔥 Apply First</x:t>
        </x:is>
      </x:c>
      <x:c r="B41" s="13" t="inlineStr">
        <x:is>
          <x:t xml:space="preserve">Axon</x:t>
        </x:is>
      </x:c>
      <x:c r="C41" s="13" t="inlineStr">
        <x:is>
          <x:t xml:space="preserve">Security Operations Engineer II</x:t>
        </x:is>
      </x:c>
      <x:c r="D41" s="13" t="inlineStr">
        <x:is>
          <x:t xml:space="preserve">Security Operations / Automation</x:t>
        </x:is>
      </x:c>
      <x:c r="E41" s="13" t="inlineStr">
        <x:is>
          <x:t xml:space="preserve">Scottsdale, AZ / Washington</x:t>
        </x:is>
      </x:c>
      <x:c r="F41" s="13" t="inlineStr">
        <x:is>
          <x:t xml:space="preserve">2+ years</x:t>
        </x:is>
      </x:c>
      <x:c r="G41" s="13" t="inlineStr">
        <x:is>
          <x:t xml:space="preserve">Posting says sponsorship decisions are discretionary; possible but not guaranteed</x:t>
        </x:is>
      </x:c>
      <x:c r="H41" s="13" t="inlineStr">
        <x:is>
          <x:t xml:space="preserve">Excellent</x:t>
        </x:is>
      </x:c>
      <x:c r="I41" s="13" t="inlineStr">
        <x:is>
          <x:t xml:space="preserve">$96K–$153.6K</x:t>
        </x:is>
      </x:c>
      <x:c r="J41" s="72" t="inlineStr">
        <x:is>
          <x:t xml:space="preserve">Apply →</x:t>
        </x:is>
      </x:c>
      <x:c r="K41" s="72" t="inlineStr">
        <x:is>
          <x:t xml:space="preserve">https://job-boards.greenhouse.io/axon/jobs/8033215003</x:t>
        </x:is>
      </x:c>
      <x:c r="L41" s="13" t="inlineStr">
        <x:is>
          <x:t xml:space="preserve">2026-10-26</x:t>
        </x:is>
      </x:c>
      <x:c r="M41" s="13" t="inlineStr">
        <x:is>
          <x:t xml:space="preserve">Not Applied</x:t>
        </x:is>
      </x:c>
      <x:c r="N41" s="13" t="str"/>
      <x:c r="O41" s="13" t="str"/>
    </x:row>
    <x:row r="42">
      <x:c r="A42" s="13" t="inlineStr">
        <x:is>
          <x:t xml:space="preserve">🔥 Apply First</x:t>
        </x:is>
      </x:c>
      <x:c r="B42" s="13" t="inlineStr">
        <x:is>
          <x:t xml:space="preserve">Amazon / AWS</x:t>
        </x:is>
      </x:c>
      <x:c r="C42" s="13" t="inlineStr">
        <x:is>
          <x:t xml:space="preserve">Application Security Engineer</x:t>
        </x:is>
      </x:c>
      <x:c r="D42" s="13" t="inlineStr">
        <x:is>
          <x:t xml:space="preserve">Application Security</x:t>
        </x:is>
      </x:c>
      <x:c r="E42" s="13" t="inlineStr">
        <x:is>
          <x:t xml:space="preserve">Arlington, VA</x:t>
        </x:is>
      </x:c>
      <x:c r="F42" s="13" t="inlineStr">
        <x:is>
          <x:t xml:space="preserve">2+ years</x:t>
        </x:is>
      </x:c>
      <x:c r="G42" s="13" t="inlineStr">
        <x:is>
          <x:t xml:space="preserve">Very strong H-1B sponsor-profile employer</x:t>
        </x:is>
      </x:c>
      <x:c r="H42" s="13" t="inlineStr">
        <x:is>
          <x:t xml:space="preserve">Excellent</x:t>
        </x:is>
      </x:c>
      <x:c r="I42" s="13" t="inlineStr">
        <x:is>
          <x:t xml:space="preserve">$159.3K–$202.4K</x:t>
        </x:is>
      </x:c>
      <x:c r="J42" s="72" t="inlineStr">
        <x:is>
          <x:t xml:space="preserve">Apply →</x:t>
        </x:is>
      </x:c>
      <x:c r="K42" s="72" t="inlineStr">
        <x:is>
          <x:t xml:space="preserve">https://www.amazon.jobs/en/jobs/10568241/application-security-engineer</x:t>
        </x:is>
      </x:c>
      <x:c r="L42" s="13" t="inlineStr">
        <x:is>
          <x:t xml:space="preserve">2026-10-26</x:t>
        </x:is>
      </x:c>
      <x:c r="M42" s="13" t="inlineStr">
        <x:is>
          <x:t xml:space="preserve">Not Applied</x:t>
        </x:is>
      </x:c>
      <x:c r="N42" s="13" t="str"/>
      <x:c r="O42" s="13" t="str"/>
    </x:row>
    <x:row r="43">
      <x:c r="A43" s="13" t="inlineStr">
        <x:is>
          <x:t xml:space="preserve">⭐ Strong Fit</x:t>
        </x:is>
      </x:c>
      <x:c r="B43" s="13" t="inlineStr">
        <x:is>
          <x:t xml:space="preserve">Amazon / AWS</x:t>
        </x:is>
      </x:c>
      <x:c r="C43" s="13" t="inlineStr">
        <x:is>
          <x:t xml:space="preserve">Application Security Engineer</x:t>
        </x:is>
      </x:c>
      <x:c r="D43" s="13" t="inlineStr">
        <x:is>
          <x:t xml:space="preserve">Application Security</x:t>
        </x:is>
      </x:c>
      <x:c r="E43" s="13" t="inlineStr">
        <x:is>
          <x:t xml:space="preserve">Arlington, VA</x:t>
        </x:is>
      </x:c>
      <x:c r="F43" s="13" t="inlineStr">
        <x:is>
          <x:t xml:space="preserve">2+ years</x:t>
        </x:is>
      </x:c>
      <x:c r="G43" s="13" t="inlineStr">
        <x:is>
          <x:t xml:space="preserve">Very strong H-1B sponsor-profile employer</x:t>
        </x:is>
      </x:c>
      <x:c r="H43" s="13" t="inlineStr">
        <x:is>
          <x:t xml:space="preserve">Excellent</x:t>
        </x:is>
      </x:c>
      <x:c r="I43" s="13" t="inlineStr">
        <x:is>
          <x:t xml:space="preserve">$159.3K–$202.4K</x:t>
        </x:is>
      </x:c>
      <x:c r="J43" s="72" t="inlineStr">
        <x:is>
          <x:t xml:space="preserve">Apply →</x:t>
        </x:is>
      </x:c>
      <x:c r="K43" s="72" t="inlineStr">
        <x:is>
          <x:t xml:space="preserve">https://www.amazon.jobs/en/jobs/10568241/application-security-engineer</x:t>
        </x:is>
      </x:c>
      <x:c r="L43" s="13" t="inlineStr">
        <x:is>
          <x:t xml:space="preserve">2026-10-26</x:t>
        </x:is>
      </x:c>
      <x:c r="M43" s="13" t="inlineStr">
        <x:is>
          <x:t xml:space="preserve">Not Applied</x:t>
        </x:is>
      </x:c>
      <x:c r="N43" s="13" t="str"/>
      <x:c r="O43" s="13" t="str"/>
    </x:row>
    <x:row r="44">
      <x:c r="A44" s="13" t="inlineStr">
        <x:is>
          <x:t xml:space="preserve">⭐ Strong Fit</x:t>
        </x:is>
      </x:c>
      <x:c r="B44" s="13" t="inlineStr">
        <x:is>
          <x:t xml:space="preserve">Amazon</x:t>
        </x:is>
      </x:c>
      <x:c r="C44" s="13" t="inlineStr">
        <x:is>
          <x:t xml:space="preserve">Security Engineer II, CLS Application Security</x:t>
        </x:is>
      </x:c>
      <x:c r="D44" s="13" t="inlineStr">
        <x:is>
          <x:t xml:space="preserve">Application Security / Automation</x:t>
        </x:is>
      </x:c>
      <x:c r="E44" s="13" t="inlineStr">
        <x:is>
          <x:t xml:space="preserve">Irvine, CA</x:t>
        </x:is>
      </x:c>
      <x:c r="F44" s="13" t="inlineStr">
        <x:is>
          <x:t xml:space="preserve">2+ years</x:t>
        </x:is>
      </x:c>
      <x:c r="G44" s="13" t="inlineStr">
        <x:is>
          <x:t xml:space="preserve">Very strong H-1B sponsor-profile employer</x:t>
        </x:is>
      </x:c>
      <x:c r="H44" s="13" t="inlineStr">
        <x:is>
          <x:t xml:space="preserve">Strong</x:t>
        </x:is>
      </x:c>
      <x:c r="I44" s="13" t="inlineStr">
        <x:is>
          <x:t xml:space="preserve">$159.3K–$202.4K</x:t>
        </x:is>
      </x:c>
      <x:c r="J44" s="72" t="inlineStr">
        <x:is>
          <x:t xml:space="preserve">Apply →</x:t>
        </x:is>
      </x:c>
      <x:c r="K44" s="72" t="inlineStr">
        <x:is>
          <x:t xml:space="preserve">https://www.amazon.jobs/en/jobs/10565796/security-engineer-ii-cls-application-security</x:t>
        </x:is>
      </x:c>
      <x:c r="L44" s="13" t="inlineStr">
        <x:is>
          <x:t xml:space="preserve">2026-10-26</x:t>
        </x:is>
      </x:c>
      <x:c r="M44" s="13" t="inlineStr">
        <x:is>
          <x:t xml:space="preserve">Not Applied</x:t>
        </x:is>
      </x:c>
      <x:c r="N44" s="13" t="str"/>
      <x:c r="O44" s="13" t="str"/>
    </x:row>
    <x:row r="45">
      <x:c r="A45" s="13" t="inlineStr">
        <x:is>
          <x:t xml:space="preserve">⭐ Strong Fit</x:t>
        </x:is>
      </x:c>
      <x:c r="B45" s="13" t="inlineStr">
        <x:is>
          <x:t xml:space="preserve">Amazon / AWS</x:t>
        </x:is>
      </x:c>
      <x:c r="C45" s="13" t="inlineStr">
        <x:is>
          <x:t xml:space="preserve">Application Security Engineer, AWS Proactive Security</x:t>
        </x:is>
      </x:c>
      <x:c r="D45" s="13" t="inlineStr">
        <x:is>
          <x:t xml:space="preserve">Application Security</x:t>
        </x:is>
      </x:c>
      <x:c r="E45" s="13" t="inlineStr">
        <x:is>
          <x:t xml:space="preserve">Austin, TX</x:t>
        </x:is>
      </x:c>
      <x:c r="F45" s="13" t="inlineStr">
        <x:is>
          <x:t xml:space="preserve">3+ years across security domains</x:t>
        </x:is>
      </x:c>
      <x:c r="G45" s="13" t="inlineStr">
        <x:is>
          <x:t xml:space="preserve">Very strong H-1B sponsor-profile employer</x:t>
        </x:is>
      </x:c>
      <x:c r="H45" s="13" t="inlineStr">
        <x:is>
          <x:t xml:space="preserve">Strong / Stretch</x:t>
        </x:is>
      </x:c>
      <x:c r="I45" s="13" t="inlineStr">
        <x:is>
          <x:t xml:space="preserve">$159.3K–$202.4K</x:t>
        </x:is>
      </x:c>
      <x:c r="J45" s="72" t="inlineStr">
        <x:is>
          <x:t xml:space="preserve">Apply →</x:t>
        </x:is>
      </x:c>
      <x:c r="K45" s="72" t="inlineStr">
        <x:is>
          <x:t xml:space="preserve">https://www.amazon.jobs/en/jobs/10559507/application-security-engineer-aws-proactive-security</x:t>
        </x:is>
      </x:c>
      <x:c r="L45" s="13" t="inlineStr">
        <x:is>
          <x:t xml:space="preserve">2026-10-26</x:t>
        </x:is>
      </x:c>
      <x:c r="M45" s="13" t="inlineStr">
        <x:is>
          <x:t xml:space="preserve">Not Applied</x:t>
        </x:is>
      </x:c>
      <x:c r="N45" s="13" t="str"/>
      <x:c r="O45" s="13" t="str"/>
    </x:row>
    <x:row r="46">
      <x:c r="A46" s="13" t="inlineStr">
        <x:is>
          <x:t xml:space="preserve">🔥 Apply First</x:t>
        </x:is>
      </x:c>
      <x:c r="B46" s="13" t="inlineStr">
        <x:is>
          <x:t xml:space="preserve">Amazon / AWS</x:t>
        </x:is>
      </x:c>
      <x:c r="C46" s="13" t="inlineStr">
        <x:is>
          <x:t xml:space="preserve">Security Engineer II, Amazon GuardDuty</x:t>
        </x:is>
      </x:c>
      <x:c r="D46" s="13" t="inlineStr">
        <x:is>
          <x:t xml:space="preserve">Threat Detection / Cloud Security</x:t>
        </x:is>
      </x:c>
      <x:c r="E46" s="13" t="inlineStr">
        <x:is>
          <x:t xml:space="preserve">Seattle, WA / New York, NY</x:t>
        </x:is>
      </x:c>
      <x:c r="F46" s="13" t="inlineStr">
        <x:is>
          <x:t xml:space="preserve">2+ years IT security accepted</x:t>
        </x:is>
      </x:c>
      <x:c r="G46" s="13" t="inlineStr">
        <x:is>
          <x:t xml:space="preserve">Very strong H-1B sponsor-profile employer</x:t>
        </x:is>
      </x:c>
      <x:c r="H46" s="13" t="inlineStr">
        <x:is>
          <x:t xml:space="preserve">Excellent</x:t>
        </x:is>
      </x:c>
      <x:c r="I46" s="13" t="inlineStr">
        <x:is>
          <x:t xml:space="preserve">$159.3K–$212.8K</x:t>
        </x:is>
      </x:c>
      <x:c r="J46" s="72" t="inlineStr">
        <x:is>
          <x:t xml:space="preserve">Apply →</x:t>
        </x:is>
      </x:c>
      <x:c r="K46" s="72" t="inlineStr">
        <x:is>
          <x:t xml:space="preserve">https://amazon.jobs/en/jobs/10537429/security-engineer-ii-amazon-guardduty</x:t>
        </x:is>
      </x:c>
      <x:c r="L46" s="13" t="inlineStr">
        <x:is>
          <x:t xml:space="preserve">2026-10-26</x:t>
        </x:is>
      </x:c>
      <x:c r="M46" s="13" t="inlineStr">
        <x:is>
          <x:t xml:space="preserve">Not Applied</x:t>
        </x:is>
      </x:c>
      <x:c r="N46" s="13" t="str"/>
      <x:c r="O46" s="13" t="str"/>
    </x:row>
    <x:row r="47">
      <x:c r="A47" s="13" t="inlineStr">
        <x:is>
          <x:t xml:space="preserve">⭐ Strong Fit</x:t>
        </x:is>
      </x:c>
      <x:c r="B47" s="13" t="inlineStr">
        <x:is>
          <x:t xml:space="preserve">Amazon</x:t>
        </x:is>
      </x:c>
      <x:c r="C47" s="13" t="inlineStr">
        <x:is>
          <x:t xml:space="preserve">Security Engineer II – AMZ006250</x:t>
        </x:is>
      </x:c>
      <x:c r="D47" s="13" t="inlineStr">
        <x:is>
          <x:t xml:space="preserve">Security Engineering / AppSec</x:t>
        </x:is>
      </x:c>
      <x:c r="E47" s="13" t="inlineStr">
        <x:is>
          <x:t xml:space="preserve">New York, NY</x:t>
        </x:is>
      </x:c>
      <x:c r="F47" s="13" t="inlineStr">
        <x:is>
          <x:t xml:space="preserve">1+ year relevant</x:t>
        </x:is>
      </x:c>
      <x:c r="G47" s="13" t="inlineStr">
        <x:is>
          <x:t xml:space="preserve">Very strong H-1B sponsor-profile employer</x:t>
        </x:is>
      </x:c>
      <x:c r="H47" s="13" t="inlineStr">
        <x:is>
          <x:t xml:space="preserve">Excellent</x:t>
        </x:is>
      </x:c>
      <x:c r="I47" s="13" t="inlineStr">
        <x:is>
          <x:t xml:space="preserve">$159.3K–$212.8K</x:t>
        </x:is>
      </x:c>
      <x:c r="J47" s="72" t="inlineStr">
        <x:is>
          <x:t xml:space="preserve">Apply →</x:t>
        </x:is>
      </x:c>
      <x:c r="K47" s="72" t="inlineStr">
        <x:is>
          <x:t xml:space="preserve">https://www.amazon.jobs/en/jobs/10445980/sec-engineer-ii-amz006250</x:t>
        </x:is>
      </x:c>
      <x:c r="L47" s="13" t="inlineStr">
        <x:is>
          <x:t xml:space="preserve">2026-10-26</x:t>
        </x:is>
      </x:c>
      <x:c r="M47" s="13" t="inlineStr">
        <x:is>
          <x:t xml:space="preserve">Not Applied</x:t>
        </x:is>
      </x:c>
      <x:c r="N47" s="13" t="str"/>
      <x:c r="O47" s="13" t="str"/>
    </x:row>
    <x:row r="48">
      <x:c r="A48" s="13" t="inlineStr">
        <x:is>
          <x:t xml:space="preserve">🔥 Apply First</x:t>
        </x:is>
      </x:c>
      <x:c r="B48" s="13" t="inlineStr">
        <x:is>
          <x:t xml:space="preserve">Amazon</x:t>
        </x:is>
      </x:c>
      <x:c r="C48" s="13" t="inlineStr">
        <x:is>
          <x:t xml:space="preserve">Security Engineer II, Security Incident Response Team (SIRT)</x:t>
        </x:is>
      </x:c>
      <x:c r="D48" s="13" t="inlineStr">
        <x:is>
          <x:t xml:space="preserve">Incident Response</x:t>
        </x:is>
      </x:c>
      <x:c r="E48" s="13" t="inlineStr">
        <x:is>
          <x:t xml:space="preserve">United States</x:t>
        </x:is>
      </x:c>
      <x:c r="F48" s="13" t="inlineStr">
        <x:is>
          <x:t xml:space="preserve">Mid-career; diverse experience encouraged</x:t>
        </x:is>
      </x:c>
      <x:c r="G48" s="13" t="inlineStr">
        <x:is>
          <x:t xml:space="preserve">Very strong H-1B sponsor-profile employer</x:t>
        </x:is>
      </x:c>
      <x:c r="H48" s="13" t="inlineStr">
        <x:is>
          <x:t xml:space="preserve">Excellent</x:t>
        </x:is>
      </x:c>
      <x:c r="I48" s="13" t="inlineStr">
        <x:is>
          <x:t xml:space="preserve">Not listed</x:t>
        </x:is>
      </x:c>
      <x:c r="J48" s="72" t="inlineStr">
        <x:is>
          <x:t xml:space="preserve">Apply →</x:t>
        </x:is>
      </x:c>
      <x:c r="K48" s="72" t="inlineStr">
        <x:is>
          <x:t xml:space="preserve">https://www.amazon.jobs/en/jobs/10471418/security-engineer-ii-security-incident-response-team-sirt</x:t>
        </x:is>
      </x:c>
      <x:c r="L48" s="13" t="inlineStr">
        <x:is>
          <x:t xml:space="preserve">2026-10-26</x:t>
        </x:is>
      </x:c>
      <x:c r="M48" s="13" t="inlineStr">
        <x:is>
          <x:t xml:space="preserve">Not Applied</x:t>
        </x:is>
      </x:c>
      <x:c r="N48" s="13" t="str"/>
      <x:c r="O48" s="13" t="str"/>
    </x:row>
    <x:row r="49">
      <x:c r="A49" s="13" t="inlineStr">
        <x:is>
          <x:t xml:space="preserve">⭐ Strong Fit</x:t>
        </x:is>
      </x:c>
      <x:c r="B49" s="13" t="inlineStr">
        <x:is>
          <x:t xml:space="preserve">Amazon / AWS</x:t>
        </x:is>
      </x:c>
      <x:c r="C49" s="13" t="inlineStr">
        <x:is>
          <x:t xml:space="preserve">Security Engineer II - AMZ27587.1</x:t>
        </x:is>
      </x:c>
      <x:c r="D49" s="13" t="inlineStr">
        <x:is>
          <x:t xml:space="preserve">Security Engineering</x:t>
        </x:is>
      </x:c>
      <x:c r="E49" s="13" t="inlineStr">
        <x:is>
          <x:t xml:space="preserve">Minneapolis, MN</x:t>
        </x:is>
      </x:c>
      <x:c r="F49" s="13" t="inlineStr">
        <x:is>
          <x:t xml:space="preserve">Security Engineer II</x:t>
        </x:is>
      </x:c>
      <x:c r="G49" s="13" t="inlineStr">
        <x:is>
          <x:t xml:space="preserve">Very strong H-1B sponsor-profile employer</x:t>
        </x:is>
      </x:c>
      <x:c r="H49" s="13" t="inlineStr">
        <x:is>
          <x:t xml:space="preserve">Strong</x:t>
        </x:is>
      </x:c>
      <x:c r="I49" s="13" t="inlineStr">
        <x:is>
          <x:t xml:space="preserve">$159.3K–$202.4K</x:t>
        </x:is>
      </x:c>
      <x:c r="J49" s="72" t="inlineStr">
        <x:is>
          <x:t xml:space="preserve">Apply →</x:t>
        </x:is>
      </x:c>
      <x:c r="K49" s="72" t="inlineStr">
        <x:is>
          <x:t xml:space="preserve">https://www.amazon.jobs/en/jobs/10464931/security-engineer-ii-amz27587-1</x:t>
        </x:is>
      </x:c>
      <x:c r="L49" s="13" t="inlineStr">
        <x:is>
          <x:t xml:space="preserve">2026-10-26</x:t>
        </x:is>
      </x:c>
      <x:c r="M49" s="13" t="inlineStr">
        <x:is>
          <x:t xml:space="preserve">Not Applied</x:t>
        </x:is>
      </x:c>
      <x:c r="N49" s="13" t="str"/>
      <x:c r="O49" s="13" t="str"/>
    </x:row>
    <x:row r="50">
      <x:c r="A50" s="13" t="inlineStr">
        <x:is>
          <x:t xml:space="preserve">⭐ Strong Fit</x:t>
        </x:is>
      </x:c>
      <x:c r="B50" s="13" t="inlineStr">
        <x:is>
          <x:t xml:space="preserve">Amazon</x:t>
        </x:is>
      </x:c>
      <x:c r="C50" s="13" t="inlineStr">
        <x:is>
          <x:t xml:space="preserve">Security Engineer II, Customer Logistics Security</x:t>
        </x:is>
      </x:c>
      <x:c r="D50" s="13" t="inlineStr">
        <x:is>
          <x:t xml:space="preserve">Vulnerability / Cloud Security</x:t>
        </x:is>
      </x:c>
      <x:c r="E50" s="13" t="inlineStr">
        <x:is>
          <x:t xml:space="preserve">United States</x:t>
        </x:is>
      </x:c>
      <x:c r="F50" s="13" t="inlineStr">
        <x:is>
          <x:t xml:space="preserve">Security Engineer II</x:t>
        </x:is>
      </x:c>
      <x:c r="G50" s="13" t="inlineStr">
        <x:is>
          <x:t xml:space="preserve">Very strong H-1B sponsor-profile employer</x:t>
        </x:is>
      </x:c>
      <x:c r="H50" s="13" t="inlineStr">
        <x:is>
          <x:t xml:space="preserve">Strong</x:t>
        </x:is>
      </x:c>
      <x:c r="I50" s="13" t="inlineStr">
        <x:is>
          <x:t xml:space="preserve">Not listed</x:t>
        </x:is>
      </x:c>
      <x:c r="J50" s="72" t="inlineStr">
        <x:is>
          <x:t xml:space="preserve">Apply →</x:t>
        </x:is>
      </x:c>
      <x:c r="K50" s="72" t="inlineStr">
        <x:is>
          <x:t xml:space="preserve">https://amazon.jobs/en/jobs/10516573/security-engineer-ii-customer-logistics-security</x:t>
        </x:is>
      </x:c>
      <x:c r="L50" s="13" t="inlineStr">
        <x:is>
          <x:t xml:space="preserve">2026-10-26</x:t>
        </x:is>
      </x:c>
      <x:c r="M50" s="13" t="inlineStr">
        <x:is>
          <x:t xml:space="preserve">Not Applied</x:t>
        </x:is>
      </x:c>
      <x:c r="N50" s="13" t="str"/>
      <x:c r="O50" s="13" t="str"/>
    </x:row>
    <x:row r="51">
      <x:c r="A51" s="13" t="inlineStr">
        <x:is>
          <x:t xml:space="preserve">⭐ Strong Fit</x:t>
        </x:is>
      </x:c>
      <x:c r="B51" s="13" t="inlineStr">
        <x:is>
          <x:t xml:space="preserve">Amazon</x:t>
        </x:is>
      </x:c>
      <x:c r="C51" s="13" t="inlineStr">
        <x:is>
          <x:t xml:space="preserve">Security Engineer II, Devices and Services Security</x:t>
        </x:is>
      </x:c>
      <x:c r="D51" s="13" t="inlineStr">
        <x:is>
          <x:t xml:space="preserve">Product / Device Security</x:t>
        </x:is>
      </x:c>
      <x:c r="E51" s="13" t="inlineStr">
        <x:is>
          <x:t xml:space="preserve">United States</x:t>
        </x:is>
      </x:c>
      <x:c r="F51" s="13" t="inlineStr">
        <x:is>
          <x:t xml:space="preserve">3+ years</x:t>
        </x:is>
      </x:c>
      <x:c r="G51" s="13" t="inlineStr">
        <x:is>
          <x:t xml:space="preserve">Very strong H-1B sponsor-profile employer</x:t>
        </x:is>
      </x:c>
      <x:c r="H51" s="13" t="inlineStr">
        <x:is>
          <x:t xml:space="preserve">Strong / Stretch</x:t>
        </x:is>
      </x:c>
      <x:c r="I51" s="13" t="inlineStr">
        <x:is>
          <x:t xml:space="preserve">Not listed</x:t>
        </x:is>
      </x:c>
      <x:c r="J51" s="72" t="inlineStr">
        <x:is>
          <x:t xml:space="preserve">Apply →</x:t>
        </x:is>
      </x:c>
      <x:c r="K51" s="72" t="inlineStr">
        <x:is>
          <x:t xml:space="preserve">https://amazon.jobs/en/jobs/10475581/security-engineer-ii-devices-and-services-security</x:t>
        </x:is>
      </x:c>
      <x:c r="L51" s="13" t="inlineStr">
        <x:is>
          <x:t xml:space="preserve">2026-10-26</x:t>
        </x:is>
      </x:c>
      <x:c r="M51" s="13" t="inlineStr">
        <x:is>
          <x:t xml:space="preserve">Not Applied</x:t>
        </x:is>
      </x:c>
      <x:c r="N51" s="13" t="str"/>
      <x:c r="O51" s="13" t="str"/>
    </x:row>
    <x:row r="52">
      <x:c r="A52" s="13" t="inlineStr">
        <x:is>
          <x:t xml:space="preserve">🔥 Apply First</x:t>
        </x:is>
      </x:c>
      <x:c r="B52" s="13" t="inlineStr">
        <x:is>
          <x:t xml:space="preserve">DoorDash</x:t>
        </x:is>
      </x:c>
      <x:c r="C52" s="13" t="inlineStr">
        <x:is>
          <x:t xml:space="preserve">Detection Engineer - Protective Services</x:t>
        </x:is>
      </x:c>
      <x:c r="D52" s="13" t="inlineStr">
        <x:is>
          <x:t xml:space="preserve">Detection Engineering / Threat Hunting</x:t>
        </x:is>
      </x:c>
      <x:c r="E52" s="13" t="inlineStr">
        <x:is>
          <x:t xml:space="preserve">Remote US</x:t>
        </x:is>
      </x:c>
      <x:c r="F52" s="13" t="inlineStr">
        <x:is>
          <x:t xml:space="preserve">3+ years</x:t>
        </x:is>
      </x:c>
      <x:c r="G52" s="13" t="inlineStr">
        <x:is>
          <x:t xml:space="preserve">Strong sponsor-profile employer; exact-role confirmation recommended</x:t>
        </x:is>
      </x:c>
      <x:c r="H52" s="13" t="inlineStr">
        <x:is>
          <x:t xml:space="preserve">Excellent</x:t>
        </x:is>
      </x:c>
      <x:c r="I52" s="13" t="inlineStr">
        <x:is>
          <x:t xml:space="preserve">$130.6K–$192K</x:t>
        </x:is>
      </x:c>
      <x:c r="J52" s="72" t="inlineStr">
        <x:is>
          <x:t xml:space="preserve">Apply →</x:t>
        </x:is>
      </x:c>
      <x:c r="K52" s="72" t="inlineStr">
        <x:is>
          <x:t xml:space="preserve">https://job-boards.greenhouse.io/doordashusa/jobs/8237701-2</x:t>
        </x:is>
      </x:c>
      <x:c r="L52" s="13" t="inlineStr">
        <x:is>
          <x:t xml:space="preserve">2026-10-26</x:t>
        </x:is>
      </x:c>
      <x:c r="M52" s="13" t="inlineStr">
        <x:is>
          <x:t xml:space="preserve">Not Applied</x:t>
        </x:is>
      </x:c>
      <x:c r="N52" s="13" t="str"/>
      <x:c r="O52" s="13" t="str"/>
    </x:row>
    <x:row r="53">
      <x:c r="A53" s="13" t="inlineStr">
        <x:is>
          <x:t xml:space="preserve">⭐ Strong Fit</x:t>
        </x:is>
      </x:c>
      <x:c r="B53" s="13" t="inlineStr">
        <x:is>
          <x:t xml:space="preserve">Goldman Sachs</x:t>
        </x:is>
      </x:c>
      <x:c r="C53" s="13" t="inlineStr">
        <x:is>
          <x:t xml:space="preserve">Model Risk Management, AI Risk, Analyst/Associate</x:t>
        </x:is>
      </x:c>
      <x:c r="D53" s="13" t="inlineStr">
        <x:is>
          <x:t xml:space="preserve">AI Risk / GRC</x:t>
        </x:is>
      </x:c>
      <x:c r="E53" s="13" t="inlineStr">
        <x:is>
          <x:t xml:space="preserve">Dallas, TX</x:t>
        </x:is>
      </x:c>
      <x:c r="F53" s="13" t="inlineStr">
        <x:is>
          <x:t xml:space="preserve">3+ years</x:t>
        </x:is>
      </x:c>
      <x:c r="G53" s="13" t="inlineStr">
        <x:is>
          <x:t xml:space="preserve">Strong sponsor-profile employer; role-level confirmation required</x:t>
        </x:is>
      </x:c>
      <x:c r="H53" s="13" t="inlineStr">
        <x:is>
          <x:t xml:space="preserve">Strong</x:t>
        </x:is>
      </x:c>
      <x:c r="I53" s="13" t="inlineStr">
        <x:is>
          <x:t xml:space="preserve">Not listed</x:t>
        </x:is>
      </x:c>
      <x:c r="J53" s="72" t="inlineStr">
        <x:is>
          <x:t xml:space="preserve">Apply →</x:t>
        </x:is>
      </x:c>
      <x:c r="K53" s="72" t="inlineStr">
        <x:is>
          <x:t xml:space="preserve">https://higher.gs.com/roles/152314</x:t>
        </x:is>
      </x:c>
      <x:c r="L53" s="13" t="inlineStr">
        <x:is>
          <x:t xml:space="preserve">2026-10-26</x:t>
        </x:is>
      </x:c>
      <x:c r="M53" s="13" t="inlineStr">
        <x:is>
          <x:t xml:space="preserve">Not Applied</x:t>
        </x:is>
      </x:c>
      <x:c r="N53" s="13" t="str"/>
      <x:c r="O53" s="13" t="str"/>
    </x:row>
    <x:row r="54">
      <x:c r="A54" s="13" t="inlineStr">
        <x:is>
          <x:t xml:space="preserve">⭐ Strong Fit</x:t>
        </x:is>
      </x:c>
      <x:c r="B54" s="13" t="inlineStr">
        <x:is>
          <x:t xml:space="preserve">Tenable</x:t>
        </x:is>
      </x:c>
      <x:c r="C54" s="13" t="inlineStr">
        <x:is>
          <x:t xml:space="preserve">Associate Services Architect</x:t>
        </x:is>
      </x:c>
      <x:c r="D54" s="13" t="inlineStr">
        <x:is>
          <x:t xml:space="preserve">Security Services / Vulnerability Mgmt</x:t>
        </x:is>
      </x:c>
      <x:c r="E54" s="13" t="inlineStr">
        <x:is>
          <x:t xml:space="preserve">Boston, MA / Columbia, MD</x:t>
        </x:is>
      </x:c>
      <x:c r="F54" s="13" t="inlineStr">
        <x:is>
          <x:t xml:space="preserve">1–3 years</x:t>
        </x:is>
      </x:c>
      <x:c r="G54" s="13" t="inlineStr">
        <x:is>
          <x:t xml:space="preserve">Application explicitly asks future sponsorship status; not an automatic rejection</x:t>
        </x:is>
      </x:c>
      <x:c r="H54" s="13" t="inlineStr">
        <x:is>
          <x:t xml:space="preserve">Strong</x:t>
        </x:is>
      </x:c>
      <x:c r="I54" s="13" t="inlineStr">
        <x:is>
          <x:t xml:space="preserve">$65K–$87K</x:t>
        </x:is>
      </x:c>
      <x:c r="J54" s="72" t="inlineStr">
        <x:is>
          <x:t xml:space="preserve">Apply →</x:t>
        </x:is>
      </x:c>
      <x:c r="K54" s="72" t="inlineStr">
        <x:is>
          <x:t xml:space="preserve">https://job-boards.greenhouse.io/tenableinc/jobs/5418662008</x:t>
        </x:is>
      </x:c>
      <x:c r="L54" s="13" t="inlineStr">
        <x:is>
          <x:t xml:space="preserve">2026-10-26</x:t>
        </x:is>
      </x:c>
      <x:c r="M54" s="13" t="inlineStr">
        <x:is>
          <x:t xml:space="preserve">Not Applied</x:t>
        </x:is>
      </x:c>
      <x:c r="N54" s="13" t="str"/>
      <x:c r="O54" s="13" t="str"/>
    </x:row>
    <x:row r="55">
      <x:c r="A55" s="13" t="inlineStr">
        <x:is>
          <x:t xml:space="preserve">🔥 Apply First</x:t>
        </x:is>
      </x:c>
      <x:c r="B55" s="13" t="inlineStr">
        <x:is>
          <x:t xml:space="preserve">The Home Depot</x:t>
        </x:is>
      </x:c>
      <x:c r="C55" s="13" t="inlineStr">
        <x:is>
          <x:t xml:space="preserve">Cybersecurity Engineer II | SIEM and EDR</x:t>
        </x:is>
      </x:c>
      <x:c r="D55" s="13" t="inlineStr">
        <x:is>
          <x:t xml:space="preserve">SIEM / EDR / Detection</x:t>
        </x:is>
      </x:c>
      <x:c r="E55" s="13" t="inlineStr">
        <x:is>
          <x:t xml:space="preserve">Atlanta, GA / Remote</x:t>
        </x:is>
      </x:c>
      <x:c r="F55" s="13" t="inlineStr">
        <x:is>
          <x:t xml:space="preserve">2+ years</x:t>
        </x:is>
      </x:c>
      <x:c r="G55" s="13" t="inlineStr">
        <x:is>
          <x:t xml:space="preserve">Employer has H-1B history; exact role says legally permitted to work, no explicit no-sponsor line surfaced</x:t>
        </x:is>
      </x:c>
      <x:c r="H55" s="13" t="inlineStr">
        <x:is>
          <x:t xml:space="preserve">Excellent</x:t>
        </x:is>
      </x:c>
      <x:c r="I55" s="13" t="inlineStr">
        <x:is>
          <x:t xml:space="preserve">$90K–$130K</x:t>
        </x:is>
      </x:c>
      <x:c r="J55" s="72" t="inlineStr">
        <x:is>
          <x:t xml:space="preserve">Apply →</x:t>
        </x:is>
      </x:c>
      <x:c r="K55" s="72" t="inlineStr">
        <x:is>
          <x:t xml:space="preserve">https://careers.homedepot.com/job/23715993/cybersecurity-engineer-ii-siem-and-edr-remote-remote/</x:t>
        </x:is>
      </x:c>
      <x:c r="L55" s="13" t="inlineStr">
        <x:is>
          <x:t xml:space="preserve">2026-10-26</x:t>
        </x:is>
      </x:c>
      <x:c r="M55" s="13" t="inlineStr">
        <x:is>
          <x:t xml:space="preserve">Not Applied</x:t>
        </x:is>
      </x:c>
      <x:c r="N55" s="13" t="str"/>
      <x:c r="O55" s="13" t="str"/>
    </x:row>
    <x:row r="56">
      <x:c r="A56" s="13" t="inlineStr">
        <x:is>
          <x:t xml:space="preserve">⭐ Strong Fit</x:t>
        </x:is>
      </x:c>
      <x:c r="B56" s="13" t="inlineStr">
        <x:is>
          <x:t xml:space="preserve">Delinea</x:t>
        </x:is>
      </x:c>
      <x:c r="C56" s="13" t="inlineStr">
        <x:is>
          <x:t xml:space="preserve">Product Security Engineer</x:t>
        </x:is>
      </x:c>
      <x:c r="D56" s="13" t="inlineStr">
        <x:is>
          <x:t xml:space="preserve">Product / Application Security</x:t>
        </x:is>
      </x:c>
      <x:c r="E56" s="13" t="inlineStr">
        <x:is>
          <x:t xml:space="preserve">United States</x:t>
        </x:is>
      </x:c>
      <x:c r="F56" s="13" t="inlineStr">
        <x:is>
          <x:t xml:space="preserve">2+ years Product Security</x:t>
        </x:is>
      </x:c>
      <x:c r="G56" s="13" t="inlineStr">
        <x:is>
          <x:t xml:space="preserve">Cybersecurity employer; no explicit blocker found in current listing; verify sponsorship</x:t>
        </x:is>
      </x:c>
      <x:c r="H56" s="13" t="inlineStr">
        <x:is>
          <x:t xml:space="preserve">Excellent</x:t>
        </x:is>
      </x:c>
      <x:c r="I56" s="13" t="inlineStr">
        <x:is>
          <x:t xml:space="preserve">Not listed</x:t>
        </x:is>
      </x:c>
      <x:c r="J56" s="72" t="inlineStr">
        <x:is>
          <x:t xml:space="preserve">Apply →</x:t>
        </x:is>
      </x:c>
      <x:c r="K56" s="72" t="inlineStr">
        <x:is>
          <x:t xml:space="preserve">https://jobs.ashbyhq.com/delinea/53162fb2-a693-4226-8e17-48ad2cf7c13e</x:t>
        </x:is>
      </x:c>
      <x:c r="L56" s="13" t="inlineStr">
        <x:is>
          <x:t xml:space="preserve">2026-10-26</x:t>
        </x:is>
      </x:c>
      <x:c r="M56" s="13" t="inlineStr">
        <x:is>
          <x:t xml:space="preserve">Not Applied</x:t>
        </x:is>
      </x:c>
      <x:c r="N56" s="13" t="str"/>
      <x:c r="O56" s="13" t="str"/>
    </x:row>
    <x:row r="57">
      <x:c r="A57" s="13" t="inlineStr">
        <x:is>
          <x:t xml:space="preserve">⭐ Strong Fit</x:t>
        </x:is>
      </x:c>
      <x:c r="B57" s="13" t="inlineStr">
        <x:is>
          <x:t xml:space="preserve">Applied Intuition</x:t>
        </x:is>
      </x:c>
      <x:c r="C57" s="13" t="inlineStr">
        <x:is>
          <x:t xml:space="preserve">Security Engineer (Purple Team)</x:t>
        </x:is>
      </x:c>
      <x:c r="D57" s="13" t="inlineStr">
        <x:is>
          <x:t xml:space="preserve">Product / Embedded Security</x:t>
        </x:is>
      </x:c>
      <x:c r="E57" s="13" t="inlineStr">
        <x:is>
          <x:t xml:space="preserve">Mountain View / Bay Area</x:t>
        </x:is>
      </x:c>
      <x:c r="F57" s="13" t="inlineStr">
        <x:is>
          <x:t xml:space="preserve">2+ years</x:t>
        </x:is>
      </x:c>
      <x:c r="G57" s="13" t="inlineStr">
        <x:is>
          <x:t xml:space="preserve">Strong sponsor-profile employer; no explicit blocker found</x:t>
        </x:is>
      </x:c>
      <x:c r="H57" s="13" t="inlineStr">
        <x:is>
          <x:t xml:space="preserve">Strong / Stretch</x:t>
        </x:is>
      </x:c>
      <x:c r="I57" s="13" t="inlineStr">
        <x:is>
          <x:t xml:space="preserve">Not listed</x:t>
        </x:is>
      </x:c>
      <x:c r="J57" s="72" t="inlineStr">
        <x:is>
          <x:t xml:space="preserve">Apply →</x:t>
        </x:is>
      </x:c>
      <x:c r="K57" s="72" t="inlineStr">
        <x:is>
          <x:t xml:space="preserve">https://jobs.ashbyhq.com/applied/8918fc69-d10d-44c0-a02c-a4a37175b735</x:t>
        </x:is>
      </x:c>
      <x:c r="L57" s="13" t="inlineStr">
        <x:is>
          <x:t xml:space="preserve">2026-10-26</x:t>
        </x:is>
      </x:c>
      <x:c r="M57" s="13" t="inlineStr">
        <x:is>
          <x:t xml:space="preserve">Not Applied</x:t>
        </x:is>
      </x:c>
      <x:c r="N57" s="13" t="str"/>
      <x:c r="O57" s="13" t="str"/>
    </x:row>
    <x:row r="58">
      <x:c r="A58" s="13" t="inlineStr">
        <x:is>
          <x:t xml:space="preserve">⭐ Strong Fit</x:t>
        </x:is>
      </x:c>
      <x:c r="B58" s="13" t="inlineStr">
        <x:is>
          <x:t xml:space="preserve">TENEX.AI</x:t>
        </x:is>
      </x:c>
      <x:c r="C58" s="13" t="inlineStr">
        <x:is>
          <x:t xml:space="preserve">Security Engineer</x:t>
        </x:is>
      </x:c>
      <x:c r="D58" s="13" t="inlineStr">
        <x:is>
          <x:t xml:space="preserve">Security Operations / Automation</x:t>
        </x:is>
      </x:c>
      <x:c r="E58" s="13" t="inlineStr">
        <x:is>
          <x:t xml:space="preserve">United States</x:t>
        </x:is>
      </x:c>
      <x:c r="F58" s="13" t="inlineStr">
        <x:is>
          <x:t xml:space="preserve">2+ years cyber operations</x:t>
        </x:is>
      </x:c>
      <x:c r="G58" s="13" t="inlineStr">
        <x:is>
          <x:t xml:space="preserve">No explicit no-sponsorship blocker found; confirm future H-1B</x:t>
        </x:is>
      </x:c>
      <x:c r="H58" s="13" t="inlineStr">
        <x:is>
          <x:t xml:space="preserve">Excellent</x:t>
        </x:is>
      </x:c>
      <x:c r="I58" s="13" t="inlineStr">
        <x:is>
          <x:t xml:space="preserve">Not listed</x:t>
        </x:is>
      </x:c>
      <x:c r="J58" s="72" t="inlineStr">
        <x:is>
          <x:t xml:space="preserve">Apply →</x:t>
        </x:is>
      </x:c>
      <x:c r="K58" s="72" t="inlineStr">
        <x:is>
          <x:t xml:space="preserve">https://jobs.ashbyhq.com/tenex/ff2e354d-ff2e-41e5-b3ad-56ed8d567387</x:t>
        </x:is>
      </x:c>
      <x:c r="L58" s="13" t="inlineStr">
        <x:is>
          <x:t xml:space="preserve">2026-10-26</x:t>
        </x:is>
      </x:c>
      <x:c r="M58" s="13" t="inlineStr">
        <x:is>
          <x:t xml:space="preserve">Not Applied</x:t>
        </x:is>
      </x:c>
      <x:c r="N58" s="13" t="str"/>
      <x:c r="O58" s="13" t="str"/>
    </x:row>
    <x:row r="59">
      <x:c r="A59" s="13" t="inlineStr">
        <x:is>
          <x:t xml:space="preserve">⭐ Strong Fit</x:t>
        </x:is>
      </x:c>
      <x:c r="B59" s="13" t="inlineStr">
        <x:is>
          <x:t xml:space="preserve">Supabase</x:t>
        </x:is>
      </x:c>
      <x:c r="C59" s="13" t="inlineStr">
        <x:is>
          <x:t xml:space="preserve">GRC Analyst</x:t>
        </x:is>
      </x:c>
      <x:c r="D59" s="13" t="inlineStr">
        <x:is>
          <x:t xml:space="preserve">GRC / Compliance</x:t>
        </x:is>
      </x:c>
      <x:c r="E59" s="13" t="inlineStr">
        <x:is>
          <x:t xml:space="preserve">Remote Global</x:t>
        </x:is>
      </x:c>
      <x:c r="F59" s="13" t="inlineStr">
        <x:is>
          <x:t xml:space="preserve">Early/Mid</x:t>
        </x:is>
      </x:c>
      <x:c r="G59" s="13" t="inlineStr">
        <x:is>
          <x:t xml:space="preserve">Global employer; confirm U.S. employment + future sponsorship details</x:t>
        </x:is>
      </x:c>
      <x:c r="H59" s="13" t="inlineStr">
        <x:is>
          <x:t xml:space="preserve">Strong</x:t>
        </x:is>
      </x:c>
      <x:c r="I59" s="13" t="inlineStr">
        <x:is>
          <x:t xml:space="preserve">Not listed</x:t>
        </x:is>
      </x:c>
      <x:c r="J59" s="72" t="inlineStr">
        <x:is>
          <x:t xml:space="preserve">Apply →</x:t>
        </x:is>
      </x:c>
      <x:c r="K59" s="72" t="inlineStr">
        <x:is>
          <x:t xml:space="preserve">https://jobs.ashbyhq.com/supabase/13478d3f-0093-458f-9f84-af71e66db03f</x:t>
        </x:is>
      </x:c>
      <x:c r="L59" s="13" t="inlineStr">
        <x:is>
          <x:t xml:space="preserve">2026-10-26</x:t>
        </x:is>
      </x:c>
      <x:c r="M59" s="13" t="inlineStr">
        <x:is>
          <x:t xml:space="preserve">Not Applied</x:t>
        </x:is>
      </x:c>
      <x:c r="N59" s="13" t="str"/>
      <x:c r="O59" s="13" t="str"/>
    </x:row>
    <x:row r="60">
      <x:c r="A60" s="13" t="inlineStr">
        <x:is>
          <x:t xml:space="preserve">⭐ Strong Fit</x:t>
        </x:is>
      </x:c>
      <x:c r="B60" s="13" t="inlineStr">
        <x:is>
          <x:t xml:space="preserve">Aegis AI</x:t>
        </x:is>
      </x:c>
      <x:c r="C60" s="13" t="inlineStr">
        <x:is>
          <x:t xml:space="preserve">GRC Engineer</x:t>
        </x:is>
      </x:c>
      <x:c r="D60" s="13" t="inlineStr">
        <x:is>
          <x:t xml:space="preserve">GRC / AI Security</x:t>
        </x:is>
      </x:c>
      <x:c r="E60" s="13" t="inlineStr">
        <x:is>
          <x:t xml:space="preserve">Remote US</x:t>
        </x:is>
      </x:c>
      <x:c r="F60" s="13" t="inlineStr">
        <x:is>
          <x:t xml:space="preserve">Early/Mid</x:t>
        </x:is>
      </x:c>
      <x:c r="G60" s="13" t="inlineStr">
        <x:is>
          <x:t xml:space="preserve">No explicit no-sponsorship blocker found; confirm future H-1B</x:t>
        </x:is>
      </x:c>
      <x:c r="H60" s="13" t="inlineStr">
        <x:is>
          <x:t xml:space="preserve">Strong</x:t>
        </x:is>
      </x:c>
      <x:c r="I60" s="13" t="inlineStr">
        <x:is>
          <x:t xml:space="preserve">Not listed</x:t>
        </x:is>
      </x:c>
      <x:c r="J60" s="72" t="inlineStr">
        <x:is>
          <x:t xml:space="preserve">Apply →</x:t>
        </x:is>
      </x:c>
      <x:c r="K60" s="72" t="inlineStr">
        <x:is>
          <x:t xml:space="preserve">https://jobs.ashbyhq.com/aegis-ai/2974c314-3a13-4db6-84a6-8ba78a2e962b</x:t>
        </x:is>
      </x:c>
      <x:c r="L60" s="13" t="inlineStr">
        <x:is>
          <x:t xml:space="preserve">2026-10-26</x:t>
        </x:is>
      </x:c>
      <x:c r="M60" s="13" t="inlineStr">
        <x:is>
          <x:t xml:space="preserve">Not Applied</x:t>
        </x:is>
      </x:c>
      <x:c r="N60" s="13" t="str"/>
      <x:c r="O60" s="13" t="str"/>
    </x:row>
    <x:row r="61">
      <x:c r="A61" s="13" t="inlineStr">
        <x:is>
          <x:t xml:space="preserve">🔥 Apply First</x:t>
        </x:is>
      </x:c>
      <x:c r="B61" s="13" t="inlineStr">
        <x:is>
          <x:t xml:space="preserve">At-Bay</x:t>
        </x:is>
      </x:c>
      <x:c r="C61" s="13" t="inlineStr">
        <x:is>
          <x:t xml:space="preserve">Cyber Analyst, Digital Forensics Incident Response</x:t>
        </x:is>
      </x:c>
      <x:c r="D61" s="13" t="inlineStr">
        <x:is>
          <x:t xml:space="preserve">DFIR / Incident Response</x:t>
        </x:is>
      </x:c>
      <x:c r="E61" s="13" t="inlineStr">
        <x:is>
          <x:t xml:space="preserve">Remote US</x:t>
        </x:is>
      </x:c>
      <x:c r="F61" s="13" t="inlineStr">
        <x:is>
          <x:t xml:space="preserve">2+ years</x:t>
        </x:is>
      </x:c>
      <x:c r="G61" s="13" t="inlineStr">
        <x:is>
          <x:t xml:space="preserve">No explicit no-sponsorship blocker found; confirm future H-1B</x:t>
        </x:is>
      </x:c>
      <x:c r="H61" s="13" t="inlineStr">
        <x:is>
          <x:t xml:space="preserve">Excellent</x:t>
        </x:is>
      </x:c>
      <x:c r="I61" s="13" t="inlineStr">
        <x:is>
          <x:t xml:space="preserve">$80K–$115K</x:t>
        </x:is>
      </x:c>
      <x:c r="J61" s="72" t="inlineStr">
        <x:is>
          <x:t xml:space="preserve">Apply →</x:t>
        </x:is>
      </x:c>
      <x:c r="K61" s="72" t="inlineStr">
        <x:is>
          <x:t xml:space="preserve">https://job-boards.greenhouse.io/atbayjobs/jobs/5657977003</x:t>
        </x:is>
      </x:c>
      <x:c r="L61" s="13" t="inlineStr">
        <x:is>
          <x:t xml:space="preserve">2026-10-26</x:t>
        </x:is>
      </x:c>
      <x:c r="M61" s="13" t="inlineStr">
        <x:is>
          <x:t xml:space="preserve">Not Applied</x:t>
        </x:is>
      </x:c>
      <x:c r="N61" s="13" t="str"/>
      <x:c r="O61" s="13" t="str"/>
    </x:row>
    <x:row r="62">
      <x:c r="A62" s="13" t="inlineStr">
        <x:is>
          <x:t xml:space="preserve">🔥 Apply First</x:t>
        </x:is>
      </x:c>
      <x:c r="B62" s="13" t="inlineStr">
        <x:is>
          <x:t xml:space="preserve">Appian</x:t>
        </x:is>
      </x:c>
      <x:c r="C62" s="13" t="inlineStr">
        <x:is>
          <x:t xml:space="preserve">Information Security Analyst</x:t>
        </x:is>
      </x:c>
      <x:c r="D62" s="13" t="inlineStr">
        <x:is>
          <x:t xml:space="preserve">Vulnerability Mgmt / GRC</x:t>
        </x:is>
      </x:c>
      <x:c r="E62" s="13" t="inlineStr">
        <x:is>
          <x:t xml:space="preserve">McLean, VA</x:t>
        </x:is>
      </x:c>
      <x:c r="F62" s="13" t="inlineStr">
        <x:is>
          <x:t xml:space="preserve">2+ years</x:t>
        </x:is>
      </x:c>
      <x:c r="G62" s="13" t="inlineStr">
        <x:is>
          <x:t xml:space="preserve">Sponsor-capable tech employer; exact-role confirmation needed</x:t>
        </x:is>
      </x:c>
      <x:c r="H62" s="13" t="inlineStr">
        <x:is>
          <x:t xml:space="preserve">Excellent</x:t>
        </x:is>
      </x:c>
      <x:c r="I62" s="13" t="inlineStr">
        <x:is>
          <x:t xml:space="preserve">Not listed</x:t>
        </x:is>
      </x:c>
      <x:c r="J62" s="72" t="inlineStr">
        <x:is>
          <x:t xml:space="preserve">Apply →</x:t>
        </x:is>
      </x:c>
      <x:c r="K62" s="72" t="inlineStr">
        <x:is>
          <x:t xml:space="preserve">https://job-boards.greenhouse.io/appian/jobs/8312417</x:t>
        </x:is>
      </x:c>
      <x:c r="L62" s="13" t="inlineStr">
        <x:is>
          <x:t xml:space="preserve">2026-10-26</x:t>
        </x:is>
      </x:c>
      <x:c r="M62" s="13" t="inlineStr">
        <x:is>
          <x:t xml:space="preserve">Not Applied</x:t>
        </x:is>
      </x:c>
      <x:c r="N62" s="13" t="str"/>
      <x:c r="O62" s="13" t="str"/>
    </x:row>
    <x:row r="63">
      <x:c r="A63" s="13" t="inlineStr">
        <x:is>
          <x:t xml:space="preserve">🔥 Apply First</x:t>
        </x:is>
      </x:c>
      <x:c r="B63" s="13" t="inlineStr">
        <x:is>
          <x:t xml:space="preserve">GuidePoint Security</x:t>
        </x:is>
      </x:c>
      <x:c r="C63" s="13" t="inlineStr">
        <x:is>
          <x:t xml:space="preserve">Security Engineer - Corporate Information Security</x:t>
        </x:is>
      </x:c>
      <x:c r="D63" s="13" t="inlineStr">
        <x:is>
          <x:t xml:space="preserve">Detection / Threat Hunting</x:t>
        </x:is>
      </x:c>
      <x:c r="E63" s="13" t="inlineStr">
        <x:is>
          <x:t xml:space="preserve">Remote US</x:t>
        </x:is>
      </x:c>
      <x:c r="F63" s="13" t="inlineStr">
        <x:is>
          <x:t xml:space="preserve">BS +2 years or MS accepted</x:t>
        </x:is>
      </x:c>
      <x:c r="G63" s="13" t="inlineStr">
        <x:is>
          <x:t xml:space="preserve">Cybersecurity employer; no explicit no-sponsorship blocker found</x:t>
        </x:is>
      </x:c>
      <x:c r="H63" s="13" t="inlineStr">
        <x:is>
          <x:t xml:space="preserve">Excellent</x:t>
        </x:is>
      </x:c>
      <x:c r="I63" s="13" t="inlineStr">
        <x:is>
          <x:t xml:space="preserve">Not listed</x:t>
        </x:is>
      </x:c>
      <x:c r="J63" s="72" t="inlineStr">
        <x:is>
          <x:t xml:space="preserve">Apply →</x:t>
        </x:is>
      </x:c>
      <x:c r="K63" s="72" t="inlineStr">
        <x:is>
          <x:t xml:space="preserve">https://job-boards.greenhouse.io/guidepointsecurity/jobs/6225726004?gh_jid=6225726004</x:t>
        </x:is>
      </x:c>
      <x:c r="L63" s="13" t="inlineStr">
        <x:is>
          <x:t xml:space="preserve">2026-10-26</x:t>
        </x:is>
      </x:c>
      <x:c r="M63" s="13" t="inlineStr">
        <x:is>
          <x:t xml:space="preserve">Not Applied</x:t>
        </x:is>
      </x:c>
      <x:c r="N63" s="13" t="str"/>
      <x:c r="O63" s="13" t="str"/>
    </x:row>
    <x:row r="64">
      <x:c r="A64" s="13" t="inlineStr">
        <x:is>
          <x:t xml:space="preserve">🔥 Apply First</x:t>
        </x:is>
      </x:c>
      <x:c r="B64" s="13" t="inlineStr">
        <x:is>
          <x:t xml:space="preserve">Twitch</x:t>
        </x:is>
      </x:c>
      <x:c r="C64" s="13" t="inlineStr">
        <x:is>
          <x:t xml:space="preserve">Security Incident Response Engineer</x:t>
        </x:is>
      </x:c>
      <x:c r="D64" s="13" t="inlineStr">
        <x:is>
          <x:t xml:space="preserve">Incident Response</x:t>
        </x:is>
      </x:c>
      <x:c r="E64" s="13" t="inlineStr">
        <x:is>
          <x:t xml:space="preserve">San Francisco / Irvine / Seattle</x:t>
        </x:is>
      </x:c>
      <x:c r="F64" s="13" t="inlineStr">
        <x:is>
          <x:t xml:space="preserve">3+ years or equivalent degree</x:t>
        </x:is>
      </x:c>
      <x:c r="G64" s="13" t="inlineStr">
        <x:is>
          <x:t xml:space="preserve">Amazon-owned sponsor-profile employer; role-level verification needed</x:t>
        </x:is>
      </x:c>
      <x:c r="H64" s="13" t="inlineStr">
        <x:is>
          <x:t xml:space="preserve">Excellent</x:t>
        </x:is>
      </x:c>
      <x:c r="I64" s="13" t="inlineStr">
        <x:is>
          <x:t xml:space="preserve">Not listed</x:t>
        </x:is>
      </x:c>
      <x:c r="J64" s="72" t="inlineStr">
        <x:is>
          <x:t xml:space="preserve">Apply →</x:t>
        </x:is>
      </x:c>
      <x:c r="K64" s="72" t="inlineStr">
        <x:is>
          <x:t xml:space="preserve">https://job-boards.greenhouse.io/twitch/jobs/8812415002</x:t>
        </x:is>
      </x:c>
      <x:c r="L64" s="13" t="inlineStr">
        <x:is>
          <x:t xml:space="preserve">2026-10-26</x:t>
        </x:is>
      </x:c>
      <x:c r="M64" s="13" t="inlineStr">
        <x:is>
          <x:t xml:space="preserve">Not Applied</x:t>
        </x:is>
      </x:c>
      <x:c r="N64" s="13" t="str"/>
      <x:c r="O64" s="13" t="str"/>
    </x:row>
    <x:row r="65">
      <x:c r="A65" s="13" t="inlineStr">
        <x:is>
          <x:t xml:space="preserve">🔥 Apply First</x:t>
        </x:is>
      </x:c>
      <x:c r="B65" s="13" t="inlineStr">
        <x:is>
          <x:t xml:space="preserve">Geotab</x:t>
        </x:is>
      </x:c>
      <x:c r="C65" s="13" t="inlineStr">
        <x:is>
          <x:t xml:space="preserve">Cybersecurity Incident Response Specialist</x:t>
        </x:is>
      </x:c>
      <x:c r="D65" s="13" t="inlineStr">
        <x:is>
          <x:t xml:space="preserve">Incident Response / Threat Hunting</x:t>
        </x:is>
      </x:c>
      <x:c r="E65" s="13" t="inlineStr">
        <x:is>
          <x:t xml:space="preserve">Atlanta, GA</x:t>
        </x:is>
      </x:c>
      <x:c r="F65" s="13" t="inlineStr">
        <x:is>
          <x:t xml:space="preserve">Mid-career</x:t>
        </x:is>
      </x:c>
      <x:c r="G65" s="13" t="inlineStr">
        <x:is>
          <x:t xml:space="preserve">Global employer; no explicit no-sponsorship blocker found in current page</x:t>
        </x:is>
      </x:c>
      <x:c r="H65" s="13" t="inlineStr">
        <x:is>
          <x:t xml:space="preserve">Excellent</x:t>
        </x:is>
      </x:c>
      <x:c r="I65" s="13" t="inlineStr">
        <x:is>
          <x:t xml:space="preserve">Not listed</x:t>
        </x:is>
      </x:c>
      <x:c r="J65" s="72" t="inlineStr">
        <x:is>
          <x:t xml:space="preserve">Apply →</x:t>
        </x:is>
      </x:c>
      <x:c r="K65" s="72" t="inlineStr">
        <x:is>
          <x:t xml:space="preserve">https://job-boards.greenhouse.io/geotab/jobs/5230323008</x:t>
        </x:is>
      </x:c>
      <x:c r="L65" s="13" t="inlineStr">
        <x:is>
          <x:t xml:space="preserve">2026-10-26</x:t>
        </x:is>
      </x:c>
      <x:c r="M65" s="13" t="inlineStr">
        <x:is>
          <x:t xml:space="preserve">Not Applied</x:t>
        </x:is>
      </x:c>
      <x:c r="N65" s="13" t="str"/>
      <x:c r="O65" s="13" t="str"/>
    </x:row>
    <x:row r="66">
      <x:c r="A66" s="13" t="inlineStr">
        <x:is>
          <x:t xml:space="preserve">⭐ Strong Fit</x:t>
        </x:is>
      </x:c>
      <x:c r="B66" s="13" t="inlineStr">
        <x:is>
          <x:t xml:space="preserve">Chainalysis</x:t>
        </x:is>
      </x:c>
      <x:c r="C66" s="13" t="inlineStr">
        <x:is>
          <x:t xml:space="preserve">Security Analyst II, Trust</x:t>
        </x:is>
      </x:c>
      <x:c r="D66" s="13" t="inlineStr">
        <x:is>
          <x:t xml:space="preserve">GRC / AI Governance</x:t>
        </x:is>
      </x:c>
      <x:c r="E66" s="13" t="inlineStr">
        <x:is>
          <x:t xml:space="preserve">Remote (NY/CT/MD/MA/PA/VA)</x:t>
        </x:is>
      </x:c>
      <x:c r="F66" s="13" t="inlineStr">
        <x:is>
          <x:t xml:space="preserve">Analyst II</x:t>
        </x:is>
      </x:c>
      <x:c r="G66" s="13" t="inlineStr">
        <x:is>
          <x:t xml:space="preserve">Sponsor-profile tech employer; role-level confirmation needed</x:t>
        </x:is>
      </x:c>
      <x:c r="H66" s="13" t="inlineStr">
        <x:is>
          <x:t xml:space="preserve">Strong</x:t>
        </x:is>
      </x:c>
      <x:c r="I66" s="13" t="inlineStr">
        <x:is>
          <x:t xml:space="preserve">$84K–$160K</x:t>
        </x:is>
      </x:c>
      <x:c r="J66" s="72" t="inlineStr">
        <x:is>
          <x:t xml:space="preserve">Apply →</x:t>
        </x:is>
      </x:c>
      <x:c r="K66" s="72" t="inlineStr">
        <x:is>
          <x:t xml:space="preserve">https://jobs.ashbyhq.com/chainalysis-careers/da0b9540-9071-4c80-a1ee-a76d46d19c98</x:t>
        </x:is>
      </x:c>
      <x:c r="L66" s="13" t="inlineStr">
        <x:is>
          <x:t xml:space="preserve">2026-10-26</x:t>
        </x:is>
      </x:c>
      <x:c r="M66" s="13" t="inlineStr">
        <x:is>
          <x:t xml:space="preserve">Not Applied</x:t>
        </x:is>
      </x:c>
      <x:c r="N66" s="13" t="str"/>
      <x:c r="O66" s="13" t="str"/>
    </x:row>
    <x:row r="67">
      <x:c r="A67" s="13" t="inlineStr">
        <x:is>
          <x:t xml:space="preserve">⭐ Strong Fit</x:t>
        </x:is>
      </x:c>
      <x:c r="B67" s="13" t="inlineStr">
        <x:is>
          <x:t xml:space="preserve">Anthropic</x:t>
        </x:is>
      </x:c>
      <x:c r="C67" s="13" t="inlineStr">
        <x:is>
          <x:t xml:space="preserve">Security Engineer, Detection &amp; Response</x:t>
        </x:is>
      </x:c>
      <x:c r="D67" s="13" t="inlineStr">
        <x:is>
          <x:t xml:space="preserve">Detection / Incident Response</x:t>
        </x:is>
      </x:c>
      <x:c r="E67" s="13" t="inlineStr">
        <x:is>
          <x:t xml:space="preserve">SF / NYC / Seattle / DC</x:t>
        </x:is>
      </x:c>
      <x:c r="F67" s="13" t="inlineStr">
        <x:is>
          <x:t xml:space="preserve">3+ SWE or 5+ D&amp;R</x:t>
        </x:is>
      </x:c>
      <x:c r="G67" s="13" t="inlineStr">
        <x:is>
          <x:t xml:space="preserve">Strong sponsor-profile AI employer; role-level confirmation needed</x:t>
        </x:is>
      </x:c>
      <x:c r="H67" s="13" t="inlineStr">
        <x:is>
          <x:t xml:space="preserve">Stretch</x:t>
        </x:is>
      </x:c>
      <x:c r="I67" s="13" t="inlineStr">
        <x:is>
          <x:t xml:space="preserve">Not listed</x:t>
        </x:is>
      </x:c>
      <x:c r="J67" s="72" t="inlineStr">
        <x:is>
          <x:t xml:space="preserve">Apply →</x:t>
        </x:is>
      </x:c>
      <x:c r="K67" s="72" t="inlineStr">
        <x:is>
          <x:t xml:space="preserve">https://job-boards.greenhouse.io/anthropic/jobs/4982193008</x:t>
        </x:is>
      </x:c>
      <x:c r="L67" s="13" t="inlineStr">
        <x:is>
          <x:t xml:space="preserve">2026-10-26</x:t>
        </x:is>
      </x:c>
      <x:c r="M67" s="13" t="inlineStr">
        <x:is>
          <x:t xml:space="preserve">Not Applied</x:t>
        </x:is>
      </x:c>
      <x:c r="N67" s="13" t="str"/>
      <x:c r="O67" s="13" t="str"/>
    </x:row>
  </x:sheetData>
  <x:conditionalFormatting sqref="A2:A200">
    <x:cfRule type="expression" dxfId="0" priority="1">
      <x:formula>A2="🔥 Apply First"</x:formula>
    </x:cfRule>
  </x:conditionalFormatting>
  <x:conditionalFormatting sqref="M2:M200">
    <x:cfRule type="expression" dxfId="14" priority="2">
      <x:formula>M2="Not Applied"</x:formula>
    </x:cfRule>
    <x:cfRule type="expression" dxfId="15" priority="3">
      <x:formula>M2="Planning to Apply"</x:formula>
    </x:cfRule>
    <x:cfRule type="expression" dxfId="16" priority="4">
      <x:formula>M2="Applied"</x:formula>
    </x:cfRule>
    <x:cfRule type="expression" dxfId="17" priority="5">
      <x:formula>M2="Under Consideration"</x:formula>
    </x:cfRule>
    <x:cfRule type="expression" dxfId="18" priority="6">
      <x:formula>M2="OA / Assessment"</x:formula>
    </x:cfRule>
    <x:cfRule type="expression" dxfId="19" priority="7">
      <x:formula>M2="Recruiter Screen"</x:formula>
    </x:cfRule>
    <x:cfRule type="expression" dxfId="20" priority="8">
      <x:formula>M2="Interview"</x:formula>
    </x:cfRule>
    <x:cfRule type="expression" dxfId="21" priority="9">
      <x:formula>M2="Final Round"</x:formula>
    </x:cfRule>
    <x:cfRule type="expression" dxfId="22" priority="10">
      <x:formula>M2="Offer"</x:formula>
    </x:cfRule>
    <x:cfRule type="expression" dxfId="23" priority="11">
      <x:formula>M2="Rejected"</x:formula>
    </x:cfRule>
    <x:cfRule type="expression" dxfId="24" priority="12">
      <x:formula>M2="Withdrawn"</x:formula>
    </x:cfRule>
    <x:cfRule type="expression" dxfId="25" priority="13">
      <x:formula>M2="Not Going to Apply"</x:formula>
    </x:cfRule>
    <x:cfRule type="expression" dxfId="26" priority="14">
      <x:formula>M2="Closed / Expired"</x:formula>
    </x:cfRule>
  </x:conditionalFormatting>
  <x:dataValidations count="1">
    <x:dataValidation type="list" allowBlank="0" showDropDown="0" showInputMessage="0" showErrorMessage="0" sqref="M2:M200">
      <x:formula1>"Not Applied,Planning to Apply,Applied,Under Consideration,OA / Assessment,Recruiter Screen,Interview,Final Round,Offer,Rejected,Withdrawn,Not Going to Apply,Closed / Expired"</x:formula1>
    </x:dataValidation>
  </x:dataValidations>
  <x:hyperlinks>
    <x:hyperlink xmlns:r="http://schemas.openxmlformats.org/officeDocument/2006/relationships" ref="J2" r:id="R0f2c4a7ac66243c6"/>
    <x:hyperlink xmlns:r="http://schemas.openxmlformats.org/officeDocument/2006/relationships" ref="K2" r:id="Rb8fc2c42a1cc40ae"/>
    <x:hyperlink xmlns:r="http://schemas.openxmlformats.org/officeDocument/2006/relationships" ref="J3" r:id="R5a0d3ca294b149ab"/>
    <x:hyperlink xmlns:r="http://schemas.openxmlformats.org/officeDocument/2006/relationships" ref="K3" r:id="R81f797c21aea44c7"/>
    <x:hyperlink xmlns:r="http://schemas.openxmlformats.org/officeDocument/2006/relationships" ref="J4" r:id="R47b2ecf9fd674d52"/>
    <x:hyperlink xmlns:r="http://schemas.openxmlformats.org/officeDocument/2006/relationships" ref="K4" r:id="Rd1a66ecacf0f4062"/>
    <x:hyperlink xmlns:r="http://schemas.openxmlformats.org/officeDocument/2006/relationships" ref="J5" r:id="Rf530d5eb43ff4ddb"/>
    <x:hyperlink xmlns:r="http://schemas.openxmlformats.org/officeDocument/2006/relationships" ref="K5" r:id="R5e16531d5f0c4640"/>
    <x:hyperlink xmlns:r="http://schemas.openxmlformats.org/officeDocument/2006/relationships" ref="J6" r:id="R6550092e98ed43ad"/>
    <x:hyperlink xmlns:r="http://schemas.openxmlformats.org/officeDocument/2006/relationships" ref="K6" r:id="R19d7a06920ad4e4d"/>
    <x:hyperlink xmlns:r="http://schemas.openxmlformats.org/officeDocument/2006/relationships" ref="J7" r:id="Raed7c6402674475c"/>
    <x:hyperlink xmlns:r="http://schemas.openxmlformats.org/officeDocument/2006/relationships" ref="K7" r:id="R0126ca856c764b82"/>
    <x:hyperlink xmlns:r="http://schemas.openxmlformats.org/officeDocument/2006/relationships" ref="J8" r:id="Rcb5cf26940304fbb"/>
    <x:hyperlink xmlns:r="http://schemas.openxmlformats.org/officeDocument/2006/relationships" ref="K8" r:id="Rbda7ead1e0e249c0"/>
    <x:hyperlink xmlns:r="http://schemas.openxmlformats.org/officeDocument/2006/relationships" ref="J9" r:id="Refcc38bc822c4c11"/>
    <x:hyperlink xmlns:r="http://schemas.openxmlformats.org/officeDocument/2006/relationships" ref="K9" r:id="R2749af6e0ec54a0a"/>
    <x:hyperlink xmlns:r="http://schemas.openxmlformats.org/officeDocument/2006/relationships" ref="J10" r:id="Ra6c2a12a3a9b41f6"/>
    <x:hyperlink xmlns:r="http://schemas.openxmlformats.org/officeDocument/2006/relationships" ref="K10" r:id="R408a630be8c644d3"/>
    <x:hyperlink xmlns:r="http://schemas.openxmlformats.org/officeDocument/2006/relationships" ref="J11" r:id="R070bb4ba861a4d55"/>
    <x:hyperlink xmlns:r="http://schemas.openxmlformats.org/officeDocument/2006/relationships" ref="K11" r:id="R27e846441aaf4f8c"/>
    <x:hyperlink xmlns:r="http://schemas.openxmlformats.org/officeDocument/2006/relationships" ref="J12" r:id="Refa63dd6adce4a71"/>
    <x:hyperlink xmlns:r="http://schemas.openxmlformats.org/officeDocument/2006/relationships" ref="K12" r:id="R2d89b38cc9f24a23"/>
    <x:hyperlink xmlns:r="http://schemas.openxmlformats.org/officeDocument/2006/relationships" ref="J13" r:id="R55fc94891b1c43cd"/>
    <x:hyperlink xmlns:r="http://schemas.openxmlformats.org/officeDocument/2006/relationships" ref="K13" r:id="R517863078fd54ed1"/>
    <x:hyperlink xmlns:r="http://schemas.openxmlformats.org/officeDocument/2006/relationships" ref="J14" r:id="R87e0c930f2004a41"/>
    <x:hyperlink xmlns:r="http://schemas.openxmlformats.org/officeDocument/2006/relationships" ref="K14" r:id="Rdadc99336bbf4463"/>
    <x:hyperlink xmlns:r="http://schemas.openxmlformats.org/officeDocument/2006/relationships" ref="J15" r:id="Rb8d90c4c5d4d4fd5"/>
    <x:hyperlink xmlns:r="http://schemas.openxmlformats.org/officeDocument/2006/relationships" ref="K15" r:id="R7eef8d3bd8bf48d9"/>
    <x:hyperlink xmlns:r="http://schemas.openxmlformats.org/officeDocument/2006/relationships" ref="J16" r:id="Re14852f4b5f949cc"/>
    <x:hyperlink xmlns:r="http://schemas.openxmlformats.org/officeDocument/2006/relationships" ref="K16" r:id="R93ee54c9c8364849"/>
    <x:hyperlink xmlns:r="http://schemas.openxmlformats.org/officeDocument/2006/relationships" ref="J17" r:id="Rfd0a3d4056274511"/>
    <x:hyperlink xmlns:r="http://schemas.openxmlformats.org/officeDocument/2006/relationships" ref="K17" r:id="R26dcbba4a0844da0"/>
    <x:hyperlink xmlns:r="http://schemas.openxmlformats.org/officeDocument/2006/relationships" ref="J18" r:id="Rdc0ac090e73f4022"/>
    <x:hyperlink xmlns:r="http://schemas.openxmlformats.org/officeDocument/2006/relationships" ref="K18" r:id="R2a375031c5324603"/>
    <x:hyperlink xmlns:r="http://schemas.openxmlformats.org/officeDocument/2006/relationships" ref="J19" r:id="Rfb47aa358f964e2a"/>
    <x:hyperlink xmlns:r="http://schemas.openxmlformats.org/officeDocument/2006/relationships" ref="K19" r:id="R377bf45609f1461e"/>
    <x:hyperlink xmlns:r="http://schemas.openxmlformats.org/officeDocument/2006/relationships" ref="J20" r:id="Rc2caeb02eb544295"/>
    <x:hyperlink xmlns:r="http://schemas.openxmlformats.org/officeDocument/2006/relationships" ref="K20" r:id="R528a38bb2d344071"/>
    <x:hyperlink xmlns:r="http://schemas.openxmlformats.org/officeDocument/2006/relationships" ref="J21" r:id="Rc04d6e7bbb4b4abf"/>
    <x:hyperlink xmlns:r="http://schemas.openxmlformats.org/officeDocument/2006/relationships" ref="K21" r:id="Raa84cad2351d4dd0"/>
    <x:hyperlink xmlns:r="http://schemas.openxmlformats.org/officeDocument/2006/relationships" ref="J22" r:id="Rf796a9e50d67452e"/>
    <x:hyperlink xmlns:r="http://schemas.openxmlformats.org/officeDocument/2006/relationships" ref="K22" r:id="Rebfecade0bfc4e57"/>
    <x:hyperlink xmlns:r="http://schemas.openxmlformats.org/officeDocument/2006/relationships" ref="J23" r:id="Rc0f6183a981a42ff"/>
    <x:hyperlink xmlns:r="http://schemas.openxmlformats.org/officeDocument/2006/relationships" ref="K23" r:id="Rf5667ce4a42f450d"/>
    <x:hyperlink xmlns:r="http://schemas.openxmlformats.org/officeDocument/2006/relationships" ref="J24" r:id="Rf6e626a1de4c4c3a"/>
    <x:hyperlink xmlns:r="http://schemas.openxmlformats.org/officeDocument/2006/relationships" ref="K24" r:id="R79dc5ef221f44e11"/>
    <x:hyperlink xmlns:r="http://schemas.openxmlformats.org/officeDocument/2006/relationships" ref="J25" r:id="R9a2992b45e704da5"/>
    <x:hyperlink xmlns:r="http://schemas.openxmlformats.org/officeDocument/2006/relationships" ref="K25" r:id="R8dd878d626114884"/>
    <x:hyperlink xmlns:r="http://schemas.openxmlformats.org/officeDocument/2006/relationships" ref="J26" r:id="R03012ff32d7e44b2"/>
    <x:hyperlink xmlns:r="http://schemas.openxmlformats.org/officeDocument/2006/relationships" ref="K26" r:id="Rebfdcd1f22544b73"/>
    <x:hyperlink xmlns:r="http://schemas.openxmlformats.org/officeDocument/2006/relationships" ref="J27" r:id="R957ae90cfbf64f87"/>
    <x:hyperlink xmlns:r="http://schemas.openxmlformats.org/officeDocument/2006/relationships" ref="K27" r:id="R85b8262fd6024f95"/>
    <x:hyperlink xmlns:r="http://schemas.openxmlformats.org/officeDocument/2006/relationships" ref="J28" r:id="R915df1ea102e4c70"/>
    <x:hyperlink xmlns:r="http://schemas.openxmlformats.org/officeDocument/2006/relationships" ref="K28" r:id="Rca02640835d94029"/>
    <x:hyperlink xmlns:r="http://schemas.openxmlformats.org/officeDocument/2006/relationships" ref="J29" r:id="Re06cc03dd8d34f64"/>
    <x:hyperlink xmlns:r="http://schemas.openxmlformats.org/officeDocument/2006/relationships" ref="K29" r:id="Rf5bc5aa88e7e4d47"/>
    <x:hyperlink xmlns:r="http://schemas.openxmlformats.org/officeDocument/2006/relationships" ref="J30" r:id="R1903590f593343a4"/>
    <x:hyperlink xmlns:r="http://schemas.openxmlformats.org/officeDocument/2006/relationships" ref="K30" r:id="R2395f1d38a1f4de1"/>
    <x:hyperlink xmlns:r="http://schemas.openxmlformats.org/officeDocument/2006/relationships" ref="J31" r:id="R85413c2b3dc8453d"/>
    <x:hyperlink xmlns:r="http://schemas.openxmlformats.org/officeDocument/2006/relationships" ref="K31" r:id="R3630ccfe16eb491f"/>
    <x:hyperlink xmlns:r="http://schemas.openxmlformats.org/officeDocument/2006/relationships" ref="J32" r:id="Rb6304b0660c843b7"/>
    <x:hyperlink xmlns:r="http://schemas.openxmlformats.org/officeDocument/2006/relationships" ref="K32" r:id="R615c1b6fdd464c08"/>
    <x:hyperlink xmlns:r="http://schemas.openxmlformats.org/officeDocument/2006/relationships" ref="J33" r:id="R79d6c150a5ee494c"/>
    <x:hyperlink xmlns:r="http://schemas.openxmlformats.org/officeDocument/2006/relationships" ref="K33" r:id="Rc6dbbac7fe8e4c1c"/>
    <x:hyperlink xmlns:r="http://schemas.openxmlformats.org/officeDocument/2006/relationships" ref="J34" r:id="R0abcaad56355489c"/>
    <x:hyperlink xmlns:r="http://schemas.openxmlformats.org/officeDocument/2006/relationships" ref="K34" r:id="Rc86fe76a85d94564"/>
    <x:hyperlink xmlns:r="http://schemas.openxmlformats.org/officeDocument/2006/relationships" ref="J35" r:id="Rb3a5b6f3859a4169"/>
    <x:hyperlink xmlns:r="http://schemas.openxmlformats.org/officeDocument/2006/relationships" ref="K35" r:id="R6d24823cd17141ac"/>
    <x:hyperlink xmlns:r="http://schemas.openxmlformats.org/officeDocument/2006/relationships" ref="J36" r:id="R0cd737c319324960"/>
    <x:hyperlink xmlns:r="http://schemas.openxmlformats.org/officeDocument/2006/relationships" ref="K36" r:id="Rae396d204b1e4054"/>
    <x:hyperlink xmlns:r="http://schemas.openxmlformats.org/officeDocument/2006/relationships" ref="J37" r:id="Ra506ca4ea77f4097"/>
    <x:hyperlink xmlns:r="http://schemas.openxmlformats.org/officeDocument/2006/relationships" ref="K37" r:id="R6606fe315f904337"/>
    <x:hyperlink xmlns:r="http://schemas.openxmlformats.org/officeDocument/2006/relationships" ref="J38" r:id="R7fe8ec638b5d41ed"/>
    <x:hyperlink xmlns:r="http://schemas.openxmlformats.org/officeDocument/2006/relationships" ref="K38" r:id="R89e4e8cc1f2d4105"/>
    <x:hyperlink xmlns:r="http://schemas.openxmlformats.org/officeDocument/2006/relationships" ref="J39" r:id="Rcfdf5cef95df4345"/>
    <x:hyperlink xmlns:r="http://schemas.openxmlformats.org/officeDocument/2006/relationships" ref="K39" r:id="Ra6e87408d5f0445e"/>
    <x:hyperlink xmlns:r="http://schemas.openxmlformats.org/officeDocument/2006/relationships" ref="J40" r:id="R5a9cf868254d4b07"/>
    <x:hyperlink xmlns:r="http://schemas.openxmlformats.org/officeDocument/2006/relationships" ref="K40" r:id="R365cdf4533d34997"/>
    <x:hyperlink xmlns:r="http://schemas.openxmlformats.org/officeDocument/2006/relationships" ref="J41" r:id="Rab0cdac841144484"/>
    <x:hyperlink xmlns:r="http://schemas.openxmlformats.org/officeDocument/2006/relationships" ref="K41" r:id="R140d632b7fa241b6"/>
    <x:hyperlink xmlns:r="http://schemas.openxmlformats.org/officeDocument/2006/relationships" ref="J42" r:id="R6b1a1187fdfb4fa1"/>
    <x:hyperlink xmlns:r="http://schemas.openxmlformats.org/officeDocument/2006/relationships" ref="K42" r:id="R71c79db7f80a45f0"/>
    <x:hyperlink xmlns:r="http://schemas.openxmlformats.org/officeDocument/2006/relationships" ref="J43" r:id="R347f4b669e9042d5"/>
    <x:hyperlink xmlns:r="http://schemas.openxmlformats.org/officeDocument/2006/relationships" ref="K43" r:id="Rea20f82add2b448e"/>
    <x:hyperlink xmlns:r="http://schemas.openxmlformats.org/officeDocument/2006/relationships" ref="J44" r:id="Rd3bb3a9682934ac2"/>
    <x:hyperlink xmlns:r="http://schemas.openxmlformats.org/officeDocument/2006/relationships" ref="K44" r:id="R11a977cb145e4881"/>
    <x:hyperlink xmlns:r="http://schemas.openxmlformats.org/officeDocument/2006/relationships" ref="J45" r:id="R2b3346475b6942ca"/>
    <x:hyperlink xmlns:r="http://schemas.openxmlformats.org/officeDocument/2006/relationships" ref="K45" r:id="Rf40dd7c4c7954187"/>
    <x:hyperlink xmlns:r="http://schemas.openxmlformats.org/officeDocument/2006/relationships" ref="J46" r:id="R048479f32a1d4938"/>
    <x:hyperlink xmlns:r="http://schemas.openxmlformats.org/officeDocument/2006/relationships" ref="K46" r:id="R16ef085308f146b0"/>
    <x:hyperlink xmlns:r="http://schemas.openxmlformats.org/officeDocument/2006/relationships" ref="J47" r:id="R607a228e810f4790"/>
    <x:hyperlink xmlns:r="http://schemas.openxmlformats.org/officeDocument/2006/relationships" ref="K47" r:id="R2f8a98f18106470d"/>
    <x:hyperlink xmlns:r="http://schemas.openxmlformats.org/officeDocument/2006/relationships" ref="J48" r:id="R185c12de2a194e79"/>
    <x:hyperlink xmlns:r="http://schemas.openxmlformats.org/officeDocument/2006/relationships" ref="K48" r:id="Rdab21de734d148ae"/>
    <x:hyperlink xmlns:r="http://schemas.openxmlformats.org/officeDocument/2006/relationships" ref="J49" r:id="R1d23788c109649b0"/>
    <x:hyperlink xmlns:r="http://schemas.openxmlformats.org/officeDocument/2006/relationships" ref="K49" r:id="R7a31e1c268bd440f"/>
    <x:hyperlink xmlns:r="http://schemas.openxmlformats.org/officeDocument/2006/relationships" ref="J50" r:id="Reeb4038726d342a7"/>
    <x:hyperlink xmlns:r="http://schemas.openxmlformats.org/officeDocument/2006/relationships" ref="K50" r:id="R8c6bc953cf264f3a"/>
    <x:hyperlink xmlns:r="http://schemas.openxmlformats.org/officeDocument/2006/relationships" ref="J51" r:id="R5e44a87faeda4e25"/>
    <x:hyperlink xmlns:r="http://schemas.openxmlformats.org/officeDocument/2006/relationships" ref="K51" r:id="R60af49bc4d064373"/>
    <x:hyperlink xmlns:r="http://schemas.openxmlformats.org/officeDocument/2006/relationships" ref="J52" r:id="Rd7f17056888b4f35"/>
    <x:hyperlink xmlns:r="http://schemas.openxmlformats.org/officeDocument/2006/relationships" ref="K52" r:id="R699c2e9ea38f4e38"/>
    <x:hyperlink xmlns:r="http://schemas.openxmlformats.org/officeDocument/2006/relationships" ref="J53" r:id="R863d5aa6d4394133"/>
    <x:hyperlink xmlns:r="http://schemas.openxmlformats.org/officeDocument/2006/relationships" ref="K53" r:id="Rc46f89f6f7564b34"/>
    <x:hyperlink xmlns:r="http://schemas.openxmlformats.org/officeDocument/2006/relationships" ref="J54" r:id="Rbf87587b925d46ea"/>
    <x:hyperlink xmlns:r="http://schemas.openxmlformats.org/officeDocument/2006/relationships" ref="K54" r:id="Reecdcf3b0f6b4eb5"/>
    <x:hyperlink xmlns:r="http://schemas.openxmlformats.org/officeDocument/2006/relationships" ref="J55" r:id="R9f943be6b4f84b2d"/>
    <x:hyperlink xmlns:r="http://schemas.openxmlformats.org/officeDocument/2006/relationships" ref="K55" r:id="Rb82fe17ad9454984"/>
    <x:hyperlink xmlns:r="http://schemas.openxmlformats.org/officeDocument/2006/relationships" ref="J56" r:id="Rfcd2a958dbf1427b"/>
    <x:hyperlink xmlns:r="http://schemas.openxmlformats.org/officeDocument/2006/relationships" ref="K56" r:id="R0151ea2f8a68431c"/>
    <x:hyperlink xmlns:r="http://schemas.openxmlformats.org/officeDocument/2006/relationships" ref="J57" r:id="R0eb5c54bcb54476d"/>
    <x:hyperlink xmlns:r="http://schemas.openxmlformats.org/officeDocument/2006/relationships" ref="K57" r:id="R6ad3a0346b024706"/>
    <x:hyperlink xmlns:r="http://schemas.openxmlformats.org/officeDocument/2006/relationships" ref="J58" r:id="R2f11b0a900be4364"/>
    <x:hyperlink xmlns:r="http://schemas.openxmlformats.org/officeDocument/2006/relationships" ref="K58" r:id="Rf3ac6248809847cb"/>
    <x:hyperlink xmlns:r="http://schemas.openxmlformats.org/officeDocument/2006/relationships" ref="J59" r:id="R59811527d4e24209"/>
    <x:hyperlink xmlns:r="http://schemas.openxmlformats.org/officeDocument/2006/relationships" ref="K59" r:id="Rde63dc37c3f34431"/>
    <x:hyperlink xmlns:r="http://schemas.openxmlformats.org/officeDocument/2006/relationships" ref="J60" r:id="Rb2dd206fecab4b6a"/>
    <x:hyperlink xmlns:r="http://schemas.openxmlformats.org/officeDocument/2006/relationships" ref="K60" r:id="Rb92d23a02dec4390"/>
    <x:hyperlink xmlns:r="http://schemas.openxmlformats.org/officeDocument/2006/relationships" ref="J61" r:id="Reab56d00db594e4c"/>
    <x:hyperlink xmlns:r="http://schemas.openxmlformats.org/officeDocument/2006/relationships" ref="K61" r:id="R691638291a954f93"/>
    <x:hyperlink xmlns:r="http://schemas.openxmlformats.org/officeDocument/2006/relationships" ref="J62" r:id="Re5e17051c23543dc"/>
    <x:hyperlink xmlns:r="http://schemas.openxmlformats.org/officeDocument/2006/relationships" ref="K62" r:id="R4edd57915eab44af"/>
    <x:hyperlink xmlns:r="http://schemas.openxmlformats.org/officeDocument/2006/relationships" ref="J63" r:id="R57c94d3c09b8451a"/>
    <x:hyperlink xmlns:r="http://schemas.openxmlformats.org/officeDocument/2006/relationships" ref="K63" r:id="R0b8cb5882d324317"/>
    <x:hyperlink xmlns:r="http://schemas.openxmlformats.org/officeDocument/2006/relationships" ref="J64" r:id="R558132c4412d42ba"/>
    <x:hyperlink xmlns:r="http://schemas.openxmlformats.org/officeDocument/2006/relationships" ref="K64" r:id="R0136bda394a24d34"/>
    <x:hyperlink xmlns:r="http://schemas.openxmlformats.org/officeDocument/2006/relationships" ref="J65" r:id="R2c07c4493dc5407f"/>
    <x:hyperlink xmlns:r="http://schemas.openxmlformats.org/officeDocument/2006/relationships" ref="K65" r:id="Rf2f69b54613f4921"/>
    <x:hyperlink xmlns:r="http://schemas.openxmlformats.org/officeDocument/2006/relationships" ref="J66" r:id="Red410fd2698b42a4"/>
    <x:hyperlink xmlns:r="http://schemas.openxmlformats.org/officeDocument/2006/relationships" ref="K66" r:id="R8ce0f3c40e3b452d"/>
    <x:hyperlink xmlns:r="http://schemas.openxmlformats.org/officeDocument/2006/relationships" ref="J67" r:id="R07f1d31486124879"/>
    <x:hyperlink xmlns:r="http://schemas.openxmlformats.org/officeDocument/2006/relationships" ref="K67" r:id="R012febda0a5e450a"/>
  </x:hyperlinks>
  <x:pageMargins left="0.7" right="0.7" top="0.75" bottom="0.75" header="0.3" footer="0.3"/>
  <x:tableParts count="1">
    <x:tablePart xmlns:r="http://schemas.openxmlformats.org/officeDocument/2006/relationships" r:id="R0a98899604764427"/>
  </x:tableParts>
</x:worksheet>
</file>

<file path=xl/worksheets/sheet4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16" customWidth="1"/>
    <x:col min="2" max="2" width="22" customWidth="1"/>
    <x:col min="3" max="3" width="44" customWidth="1"/>
    <x:col min="4" max="4" width="27" customWidth="1"/>
    <x:col min="5" max="5" width="26" customWidth="1"/>
    <x:col min="6" max="6" width="25" customWidth="1"/>
    <x:col min="7" max="7" width="48" customWidth="1"/>
    <x:col min="8" max="8" width="18" customWidth="1"/>
    <x:col min="9" max="9" width="18" customWidth="1"/>
    <x:col min="10" max="10" width="13" customWidth="1"/>
    <x:col min="11" max="11" width="55" customWidth="1"/>
    <x:col min="12" max="12" width="14" customWidth="1"/>
    <x:col min="13" max="13" width="14" customWidth="1"/>
    <x:col min="14" max="14" width="14" customWidth="1"/>
    <x:col min="15" max="15" width="28" customWidth="1"/>
    <x:col min="17" max="17" width="16" hidden="0" customWidth="1"/>
    <x:col min="18" max="18" width="48" hidden="0" customWidth="1"/>
  </x:cols>
  <x:sheetData>
    <x:row r="1" ht="38" customHeight="1">
      <x:c r="A1" s="29" t="inlineStr">
        <x:is>
          <x:t xml:space="preserve">Priority</x:t>
        </x:is>
      </x:c>
      <x:c r="B1" s="29" t="inlineStr">
        <x:is>
          <x:t xml:space="preserve">Company</x:t>
        </x:is>
      </x:c>
      <x:c r="C1" s="29" t="inlineStr">
        <x:is>
          <x:t xml:space="preserve">Role</x:t>
        </x:is>
      </x:c>
      <x:c r="D1" s="29" t="inlineStr">
        <x:is>
          <x:t xml:space="preserve">Track</x:t>
        </x:is>
      </x:c>
      <x:c r="E1" s="29" t="inlineStr">
        <x:is>
          <x:t xml:space="preserve">Location</x:t>
        </x:is>
      </x:c>
      <x:c r="F1" s="29" t="inlineStr">
        <x:is>
          <x:t xml:space="preserve">Experience / Level</x:t>
        </x:is>
      </x:c>
      <x:c r="G1" s="29" t="inlineStr">
        <x:is>
          <x:t xml:space="preserve">H-1B / Visa Signal</x:t>
        </x:is>
      </x:c>
      <x:c r="H1" s="29" t="inlineStr">
        <x:is>
          <x:t xml:space="preserve">Resume Fit</x:t>
        </x:is>
      </x:c>
      <x:c r="I1" s="29" t="inlineStr">
        <x:is>
          <x:t xml:space="preserve">Compensation</x:t>
        </x:is>
      </x:c>
      <x:c r="J1" s="29" t="inlineStr">
        <x:is>
          <x:t xml:space="preserve">Apply</x:t>
        </x:is>
      </x:c>
      <x:c r="K1" s="29" t="inlineStr">
        <x:is>
          <x:t xml:space="preserve">Exact Employer URL</x:t>
        </x:is>
      </x:c>
      <x:c r="L1" s="29" t="inlineStr">
        <x:is>
          <x:t xml:space="preserve">Checked</x:t>
        </x:is>
      </x:c>
      <x:c r="M1" s="29" t="str">
        <x:v>Status (linked)</x:v>
      </x:c>
      <x:c r="N1" s="29" t="str">
        <x:v>Date Applied (linked)</x:v>
      </x:c>
      <x:c r="O1" s="29" t="str">
        <x:v>Notes (linked)</x:v>
      </x:c>
      <x:c r="Q1" s="116" t="str">
        <x:v>LIVE VIEW</x:v>
      </x:c>
      <x:c r="R1" s="116" t="str">
        <x:v>Status, Date Applied, and Notes are linked from All Direct Jobs.</x:v>
      </x:c>
    </x:row>
    <x:row r="2">
      <x:c r="A2" s="13" t="inlineStr">
        <x:is>
          <x:t xml:space="preserve">🔥 Apply First</x:t>
        </x:is>
      </x:c>
      <x:c r="B2" s="13" t="inlineStr">
        <x:is>
          <x:t xml:space="preserve">Together AI</x:t>
        </x:is>
      </x:c>
      <x:c r="C2" s="13" t="inlineStr">
        <x:is>
          <x:t xml:space="preserve">Hardware Security Engineer, New Grad (2027)</x:t>
        </x:is>
      </x:c>
      <x:c r="D2" s="13" t="inlineStr">
        <x:is>
          <x:t xml:space="preserve">AI / Hardware Security</x:t>
        </x:is>
      </x:c>
      <x:c r="E2" s="13" t="inlineStr">
        <x:is>
          <x:t xml:space="preserve">San Francisco, CA</x:t>
        </x:is>
      </x:c>
      <x:c r="F2" s="13" t="inlineStr">
        <x:is>
          <x:t xml:space="preserve">New Grad 2027</x:t>
        </x:is>
      </x:c>
      <x:c r="G2" s="13" t="inlineStr">
        <x:is>
          <x:t xml:space="preserve">Strong sponsor-profile employer; exact role does not promise H-1B</x:t>
        </x:is>
      </x:c>
      <x:c r="H2" s="13" t="inlineStr">
        <x:is>
          <x:t xml:space="preserve">Excellent</x:t>
        </x:is>
      </x:c>
      <x:c r="I2" s="13" t="inlineStr">
        <x:is>
          <x:t xml:space="preserve">$140K–$150K</x:t>
        </x:is>
      </x:c>
      <x:c r="J2" s="72" t="inlineStr">
        <x:is>
          <x:t xml:space="preserve">Apply →</x:t>
        </x:is>
      </x:c>
      <x:c r="K2" s="72" t="inlineStr">
        <x:is>
          <x:t xml:space="preserve">https://job-boards.greenhouse.io/togetherai/jobs/5238471007</x:t>
        </x:is>
      </x:c>
      <x:c r="L2" s="13" t="inlineStr">
        <x:is>
          <x:t xml:space="preserve">2026-10-26</x:t>
        </x:is>
      </x:c>
      <x:c r="M2" s="13" t="str">
        <x:f>'All Direct Jobs'!M2</x:f>
        <x:v>Not Applied</x:v>
      </x:c>
      <x:c r="N2" s="13" t="str">
        <x:f>IF('All Direct Jobs'!N2="","",'All Direct Jobs'!N2)</x:f>
      </x:c>
      <x:c r="O2" s="13" t="str">
        <x:f>IF('All Direct Jobs'!O2="","",'All Direct Jobs'!O2)</x:f>
      </x:c>
      <x:c r="Q2" s="79" t="str">
        <x:v>Where to edit</x:v>
      </x:c>
      <x:c r="R2" s="79" t="str">
        <x:v>Update those fields only in All Direct Jobs.</x:v>
      </x:c>
    </x:row>
    <x:row r="3">
      <x:c r="A3" s="13" t="inlineStr">
        <x:is>
          <x:t xml:space="preserve">🔥 Apply First</x:t>
        </x:is>
      </x:c>
      <x:c r="B3" s="13" t="inlineStr">
        <x:is>
          <x:t xml:space="preserve">1Password</x:t>
        </x:is>
      </x:c>
      <x:c r="C3" s="13" t="inlineStr">
        <x:is>
          <x:t xml:space="preserve">Junior Security Engineer</x:t>
        </x:is>
      </x:c>
      <x:c r="D3" s="13" t="inlineStr">
        <x:is>
          <x:t xml:space="preserve">Application Security</x:t>
        </x:is>
      </x:c>
      <x:c r="E3" s="13" t="inlineStr">
        <x:is>
          <x:t xml:space="preserve">Remote US / Canada</x:t>
        </x:is>
      </x:c>
      <x:c r="F3" s="13" t="inlineStr">
        <x:is>
          <x:t xml:space="preserve">0–2+ years</x:t>
        </x:is>
      </x:c>
      <x:c r="G3" s="13" t="inlineStr">
        <x:is>
          <x:t xml:space="preserve">No explicit no-sponsorship blocker found; confirm future H-1B</x:t>
        </x:is>
      </x:c>
      <x:c r="H3" s="13" t="inlineStr">
        <x:is>
          <x:t xml:space="preserve">Excellent</x:t>
        </x:is>
      </x:c>
      <x:c r="I3" s="13" t="inlineStr">
        <x:is>
          <x:t xml:space="preserve">Not listed</x:t>
        </x:is>
      </x:c>
      <x:c r="J3" s="72" t="inlineStr">
        <x:is>
          <x:t xml:space="preserve">Apply →</x:t>
        </x:is>
      </x:c>
      <x:c r="K3" s="72" t="inlineStr">
        <x:is>
          <x:t xml:space="preserve">https://jobs.ashbyhq.com/1password/49f0fe51-fcdc-46d8-a046-35f357b0cf6e/</x:t>
        </x:is>
      </x:c>
      <x:c r="L3" s="13" t="inlineStr">
        <x:is>
          <x:t xml:space="preserve">2026-10-26</x:t>
        </x:is>
      </x:c>
      <x:c r="M3" s="13" t="str">
        <x:f>'All Direct Jobs'!M5</x:f>
        <x:v>Not Applied</x:v>
      </x:c>
      <x:c r="N3" s="13" t="str">
        <x:f>IF('All Direct Jobs'!N5="","",'All Direct Jobs'!N5)</x:f>
      </x:c>
      <x:c r="O3" s="13" t="str">
        <x:f>IF('All Direct Jobs'!O5="","",'All Direct Jobs'!O5)</x:f>
      </x:c>
      <x:c r="Q3" s="79" t="str">
        <x:v>Why</x:v>
      </x:c>
      <x:c r="R3" s="79" t="str">
        <x:v>One source of truth prevents conflicting application states.</x:v>
      </x:c>
    </x:row>
    <x:row r="4">
      <x:c r="A4" s="13" t="inlineStr">
        <x:is>
          <x:t xml:space="preserve">🔥 Apply First</x:t>
        </x:is>
      </x:c>
      <x:c r="B4" s="13" t="inlineStr">
        <x:is>
          <x:t xml:space="preserve">CrowdStrike</x:t>
        </x:is>
      </x:c>
      <x:c r="C4" s="13" t="inlineStr">
        <x:is>
          <x:t xml:space="preserve">Analyst I, Falcon Complete</x:t>
        </x:is>
      </x:c>
      <x:c r="D4" s="13" t="inlineStr">
        <x:is>
          <x:t xml:space="preserve">SOC / Incident Response</x:t>
        </x:is>
      </x:c>
      <x:c r="E4" s="13" t="inlineStr">
        <x:is>
          <x:t xml:space="preserve">Remote (PST/MST)</x:t>
        </x:is>
      </x:c>
      <x:c r="F4" s="13" t="inlineStr">
        <x:is>
          <x:t xml:space="preserve">Entry level</x:t>
        </x:is>
      </x:c>
      <x:c r="G4" s="13" t="inlineStr">
        <x:is>
          <x:t xml:space="preserve">Strong sponsor-profile employer; confirm exact requisition</x:t>
        </x:is>
      </x:c>
      <x:c r="H4" s="13" t="inlineStr">
        <x:is>
          <x:t xml:space="preserve">Excellent</x:t>
        </x:is>
      </x:c>
      <x:c r="I4" s="13" t="inlineStr">
        <x:is>
          <x:t xml:space="preserve">$85K–$120K</x:t>
        </x:is>
      </x:c>
      <x:c r="J4" s="72" t="inlineStr">
        <x:is>
          <x:t xml:space="preserve">Apply →</x:t>
        </x:is>
      </x:c>
      <x:c r="K4" s="72" t="inlineStr">
        <x:is>
          <x:t xml:space="preserve">https://crowdstrike.wd5.myworkdayjobs.com/en-US/crowdstrikecareers/job/Associate-Analyst--Falcon-Complete_R30082</x:t>
        </x:is>
      </x:c>
      <x:c r="L4" s="13" t="inlineStr">
        <x:is>
          <x:t xml:space="preserve">2026-10-26</x:t>
        </x:is>
      </x:c>
      <x:c r="M4" s="13" t="str">
        <x:f>'All Direct Jobs'!M6</x:f>
        <x:v>Not Applied</x:v>
      </x:c>
      <x:c r="N4" s="13" t="str">
        <x:f>IF('All Direct Jobs'!N6="","",'All Direct Jobs'!N6)</x:f>
      </x:c>
      <x:c r="O4" s="13" t="str">
        <x:f>IF('All Direct Jobs'!O6="","",'All Direct Jobs'!O6)</x:f>
      </x:c>
    </x:row>
    <x:row r="5">
      <x:c r="A5" s="13" t="inlineStr">
        <x:is>
          <x:t xml:space="preserve">🔥 Apply First</x:t>
        </x:is>
      </x:c>
      <x:c r="B5" s="13" t="inlineStr">
        <x:is>
          <x:t xml:space="preserve">Bloomberg Industry Group</x:t>
        </x:is>
      </x:c>
      <x:c r="C5" s="13" t="inlineStr">
        <x:is>
          <x:t xml:space="preserve">Application Security Engineer I</x:t>
        </x:is>
      </x:c>
      <x:c r="D5" s="13" t="inlineStr">
        <x:is>
          <x:t xml:space="preserve">Application Security</x:t>
        </x:is>
      </x:c>
      <x:c r="E5" s="13" t="inlineStr">
        <x:is>
          <x:t xml:space="preserve">Arlington, VA / Remote eligible</x:t>
        </x:is>
      </x:c>
      <x:c r="F5" s="13" t="inlineStr">
        <x:is>
          <x:t xml:space="preserve">1–2 years</x:t>
        </x:is>
      </x:c>
      <x:c r="G5" s="13" t="inlineStr">
        <x:is>
          <x:t xml:space="preserve">No explicit no-sponsorship blocker found; confirm future H-1B</x:t>
        </x:is>
      </x:c>
      <x:c r="H5" s="13" t="inlineStr">
        <x:is>
          <x:t xml:space="preserve">Excellent</x:t>
        </x:is>
      </x:c>
      <x:c r="I5" s="13" t="inlineStr">
        <x:is>
          <x:t xml:space="preserve">Not listed</x:t>
        </x:is>
      </x:c>
      <x:c r="J5" s="72" t="inlineStr">
        <x:is>
          <x:t xml:space="preserve">Apply →</x:t>
        </x:is>
      </x:c>
      <x:c r="K5" s="72" t="inlineStr">
        <x:is>
          <x:t xml:space="preserve">https://bloomberg.wd1.myworkdayjobs.com/en-US/Bloombergindustrygroup_External_Career_Site/job/Application-Security-Engineer-I_142068-1</x:t>
        </x:is>
      </x:c>
      <x:c r="L5" s="13" t="inlineStr">
        <x:is>
          <x:t xml:space="preserve">2026-10-26</x:t>
        </x:is>
      </x:c>
      <x:c r="M5" s="13" t="str">
        <x:f>'All Direct Jobs'!M8</x:f>
        <x:v>Not Applied</x:v>
      </x:c>
      <x:c r="N5" s="13" t="str">
        <x:f>IF('All Direct Jobs'!N8="","",'All Direct Jobs'!N8)</x:f>
      </x:c>
      <x:c r="O5" s="13" t="str">
        <x:f>IF('All Direct Jobs'!O8="","",'All Direct Jobs'!O8)</x:f>
      </x:c>
    </x:row>
    <x:row r="6">
      <x:c r="A6" s="13" t="inlineStr">
        <x:is>
          <x:t xml:space="preserve">🔥 Apply First</x:t>
        </x:is>
      </x:c>
      <x:c r="B6" s="13" t="inlineStr">
        <x:is>
          <x:t xml:space="preserve">Team Cymru</x:t>
        </x:is>
      </x:c>
      <x:c r="C6" s="13" t="inlineStr">
        <x:is>
          <x:t xml:space="preserve">Threat Intelligence Analyst</x:t>
        </x:is>
      </x:c>
      <x:c r="D6" s="13" t="inlineStr">
        <x:is>
          <x:t xml:space="preserve">Threat Intelligence</x:t>
        </x:is>
      </x:c>
      <x:c r="E6" s="13" t="inlineStr">
        <x:is>
          <x:t xml:space="preserve">Lake Mary, FL / US</x:t>
        </x:is>
      </x:c>
      <x:c r="F6" s="13" t="inlineStr">
        <x:is>
          <x:t xml:space="preserve">Early career</x:t>
        </x:is>
      </x:c>
      <x:c r="G6" s="13" t="inlineStr">
        <x:is>
          <x:t xml:space="preserve">No explicit no-sponsorship blocker found; confirm future H-1B</x:t>
        </x:is>
      </x:c>
      <x:c r="H6" s="13" t="inlineStr">
        <x:is>
          <x:t xml:space="preserve">Excellent</x:t>
        </x:is>
      </x:c>
      <x:c r="I6" s="13" t="inlineStr">
        <x:is>
          <x:t xml:space="preserve">Not listed</x:t>
        </x:is>
      </x:c>
      <x:c r="J6" s="72" t="inlineStr">
        <x:is>
          <x:t xml:space="preserve">Apply →</x:t>
        </x:is>
      </x:c>
      <x:c r="K6" s="72" t="inlineStr">
        <x:is>
          <x:t xml:space="preserve">https://teamcymru.applytojob.com/apply/i2C3uTjEtS/Threat-Intelligence-Analyst</x:t>
        </x:is>
      </x:c>
      <x:c r="L6" s="13" t="inlineStr">
        <x:is>
          <x:t xml:space="preserve">2026-10-26</x:t>
        </x:is>
      </x:c>
      <x:c r="M6" s="13" t="str">
        <x:f>'All Direct Jobs'!M9</x:f>
        <x:v>Not Applied</x:v>
      </x:c>
      <x:c r="N6" s="13" t="str">
        <x:f>IF('All Direct Jobs'!N9="","",'All Direct Jobs'!N9)</x:f>
      </x:c>
      <x:c r="O6" s="13" t="str">
        <x:f>IF('All Direct Jobs'!O9="","",'All Direct Jobs'!O9)</x:f>
      </x:c>
    </x:row>
    <x:row r="7">
      <x:c r="A7" s="13" t="inlineStr">
        <x:is>
          <x:t xml:space="preserve">🔥 Apply First</x:t>
        </x:is>
      </x:c>
      <x:c r="B7" s="13" t="inlineStr">
        <x:is>
          <x:t xml:space="preserve">Binary Defense</x:t>
        </x:is>
      </x:c>
      <x:c r="C7" s="13" t="inlineStr">
        <x:is>
          <x:t xml:space="preserve">Tier 1 SOC Analyst - REMOTE</x:t>
        </x:is>
      </x:c>
      <x:c r="D7" s="13" t="inlineStr">
        <x:is>
          <x:t xml:space="preserve">SOC / Detection</x:t>
        </x:is>
      </x:c>
      <x:c r="E7" s="13" t="inlineStr">
        <x:is>
          <x:t xml:space="preserve">Remote US</x:t>
        </x:is>
      </x:c>
      <x:c r="F7" s="13" t="inlineStr">
        <x:is>
          <x:t xml:space="preserve">Tier 1</x:t>
        </x:is>
      </x:c>
      <x:c r="G7" s="13" t="inlineStr">
        <x:is>
          <x:t xml:space="preserve">No explicit no-sponsorship blocker found; confirm future H-1B</x:t>
        </x:is>
      </x:c>
      <x:c r="H7" s="13" t="inlineStr">
        <x:is>
          <x:t xml:space="preserve">Excellent</x:t>
        </x:is>
      </x:c>
      <x:c r="I7" s="13" t="inlineStr">
        <x:is>
          <x:t xml:space="preserve">$55.9K–$88.4K</x:t>
        </x:is>
      </x:c>
      <x:c r="J7" s="72" t="inlineStr">
        <x:is>
          <x:t xml:space="preserve">Apply →</x:t>
        </x:is>
      </x:c>
      <x:c r="K7" s="72" t="inlineStr">
        <x:is>
          <x:t xml:space="preserve">https://recruiting.paylocity.com/recruiting/jobs/Details/4503952/Binary-Defense/Tier-1-SOC-Analyst---REMOTE</x:t>
        </x:is>
      </x:c>
      <x:c r="L7" s="13" t="inlineStr">
        <x:is>
          <x:t xml:space="preserve">2026-10-26</x:t>
        </x:is>
      </x:c>
      <x:c r="M7" s="13" t="str">
        <x:f>'All Direct Jobs'!M10</x:f>
        <x:v>Not Applied</x:v>
      </x:c>
      <x:c r="N7" s="13" t="str">
        <x:f>IF('All Direct Jobs'!N10="","",'All Direct Jobs'!N10)</x:f>
      </x:c>
      <x:c r="O7" s="13" t="str">
        <x:f>IF('All Direct Jobs'!O10="","",'All Direct Jobs'!O10)</x:f>
      </x:c>
    </x:row>
    <x:row r="8">
      <x:c r="A8" s="13" t="inlineStr">
        <x:is>
          <x:t xml:space="preserve">🔥 Apply First</x:t>
        </x:is>
      </x:c>
      <x:c r="B8" s="13" t="inlineStr">
        <x:is>
          <x:t xml:space="preserve">SailPoint</x:t>
        </x:is>
      </x:c>
      <x:c r="C8" s="13" t="inlineStr">
        <x:is>
          <x:t xml:space="preserve">Associate Security Software Engineer</x:t>
        </x:is>
      </x:c>
      <x:c r="D8" s="13" t="inlineStr">
        <x:is>
          <x:t xml:space="preserve">Security Engineering / IAM</x:t>
        </x:is>
      </x:c>
      <x:c r="E8" s="13" t="inlineStr">
        <x:is>
          <x:t xml:space="preserve">United States</x:t>
        </x:is>
      </x:c>
      <x:c r="F8" s="13" t="inlineStr">
        <x:is>
          <x:t xml:space="preserve">Associate</x:t>
        </x:is>
      </x:c>
      <x:c r="G8" s="13" t="inlineStr">
        <x:is>
          <x:t xml:space="preserve">Strong sponsor-profile employer; confirm exact requisition</x:t>
        </x:is>
      </x:c>
      <x:c r="H8" s="13" t="inlineStr">
        <x:is>
          <x:t xml:space="preserve">Excellent</x:t>
        </x:is>
      </x:c>
      <x:c r="I8" s="13" t="inlineStr">
        <x:is>
          <x:t xml:space="preserve">Not listed</x:t>
        </x:is>
      </x:c>
      <x:c r="J8" s="72" t="inlineStr">
        <x:is>
          <x:t xml:space="preserve">Apply →</x:t>
        </x:is>
      </x:c>
      <x:c r="K8" s="72" t="inlineStr">
        <x:is>
          <x:t xml:space="preserve">https://sailpoint.wd1.myworkdayjobs.com/en-US/SailPoint/job/Associate-Security-Software-Engineer_R013786</x:t>
        </x:is>
      </x:c>
      <x:c r="L8" s="13" t="inlineStr">
        <x:is>
          <x:t xml:space="preserve">2026-10-26</x:t>
        </x:is>
      </x:c>
      <x:c r="M8" s="13" t="str">
        <x:f>'All Direct Jobs'!M11</x:f>
        <x:v>Not Applied</x:v>
      </x:c>
      <x:c r="N8" s="13" t="str">
        <x:f>IF('All Direct Jobs'!N11="","",'All Direct Jobs'!N11)</x:f>
      </x:c>
      <x:c r="O8" s="13" t="str">
        <x:f>IF('All Direct Jobs'!O11="","",'All Direct Jobs'!O11)</x:f>
      </x:c>
    </x:row>
    <x:row r="9">
      <x:c r="A9" s="13" t="inlineStr">
        <x:is>
          <x:t xml:space="preserve">⭐ Strong Fit</x:t>
        </x:is>
      </x:c>
      <x:c r="B9" s="13" t="inlineStr">
        <x:is>
          <x:t xml:space="preserve">GuidePoint Security</x:t>
        </x:is>
      </x:c>
      <x:c r="C9" s="13" t="inlineStr">
        <x:is>
          <x:t xml:space="preserve">Associate Cloud Security Engineer - AWS</x:t>
        </x:is>
      </x:c>
      <x:c r="D9" s="13" t="inlineStr">
        <x:is>
          <x:t xml:space="preserve">Cloud Security</x:t>
        </x:is>
      </x:c>
      <x:c r="E9" s="13" t="inlineStr">
        <x:is>
          <x:t xml:space="preserve">Remote US</x:t>
        </x:is>
      </x:c>
      <x:c r="F9" s="13" t="inlineStr">
        <x:is>
          <x:t xml:space="preserve">Associate</x:t>
        </x:is>
      </x:c>
      <x:c r="G9" s="13" t="inlineStr">
        <x:is>
          <x:t xml:space="preserve">Role does not state a sponsorship prohibition; verify exact case</x:t>
        </x:is>
      </x:c>
      <x:c r="H9" s="13" t="inlineStr">
        <x:is>
          <x:t xml:space="preserve">Strong</x:t>
        </x:is>
      </x:c>
      <x:c r="I9" s="13" t="inlineStr">
        <x:is>
          <x:t xml:space="preserve">Not listed</x:t>
        </x:is>
      </x:c>
      <x:c r="J9" s="72" t="inlineStr">
        <x:is>
          <x:t xml:space="preserve">Apply →</x:t>
        </x:is>
      </x:c>
      <x:c r="K9" s="72" t="inlineStr">
        <x:is>
          <x:t xml:space="preserve">https://job-boards.greenhouse.io/guidepointsecurity/jobs/6191766004?gh_jid=6191766004</x:t>
        </x:is>
      </x:c>
      <x:c r="L9" s="13" t="inlineStr">
        <x:is>
          <x:t xml:space="preserve">2026-10-26</x:t>
        </x:is>
      </x:c>
      <x:c r="M9" s="13" t="str">
        <x:f>'All Direct Jobs'!M12</x:f>
        <x:v>Not Applied</x:v>
      </x:c>
      <x:c r="N9" s="13" t="str">
        <x:f>IF('All Direct Jobs'!N12="","",'All Direct Jobs'!N12)</x:f>
      </x:c>
      <x:c r="O9" s="13" t="str">
        <x:f>IF('All Direct Jobs'!O12="","",'All Direct Jobs'!O12)</x:f>
      </x:c>
    </x:row>
    <x:row r="10">
      <x:c r="A10" s="13" t="inlineStr">
        <x:is>
          <x:t xml:space="preserve">🔥 Apply First</x:t>
        </x:is>
      </x:c>
      <x:c r="B10" s="13" t="inlineStr">
        <x:is>
          <x:t xml:space="preserve">ID.me</x:t>
        </x:is>
      </x:c>
      <x:c r="C10" s="13" t="inlineStr">
        <x:is>
          <x:t xml:space="preserve">SOC Analyst</x:t>
        </x:is>
      </x:c>
      <x:c r="D10" s="13" t="inlineStr">
        <x:is>
          <x:t xml:space="preserve">SOC / Detection</x:t>
        </x:is>
      </x:c>
      <x:c r="E10" s="13" t="inlineStr">
        <x:is>
          <x:t xml:space="preserve">McLean, VA</x:t>
        </x:is>
      </x:c>
      <x:c r="F10" s="13" t="inlineStr">
        <x:is>
          <x:t xml:space="preserve">Early career</x:t>
        </x:is>
      </x:c>
      <x:c r="G10" s="13" t="inlineStr">
        <x:is>
          <x:t xml:space="preserve">Sponsor-capable tech employer; role-level confirmation needed</x:t>
        </x:is>
      </x:c>
      <x:c r="H10" s="13" t="inlineStr">
        <x:is>
          <x:t xml:space="preserve">Excellent</x:t>
        </x:is>
      </x:c>
      <x:c r="I10" s="13" t="inlineStr">
        <x:is>
          <x:t xml:space="preserve">Not listed</x:t>
        </x:is>
      </x:c>
      <x:c r="J10" s="72" t="inlineStr">
        <x:is>
          <x:t xml:space="preserve">Apply →</x:t>
        </x:is>
      </x:c>
      <x:c r="K10" s="72" t="inlineStr">
        <x:is>
          <x:t xml:space="preserve">https://job-boards.greenhouse.io/idme/jobs/7808011003</x:t>
        </x:is>
      </x:c>
      <x:c r="L10" s="13" t="inlineStr">
        <x:is>
          <x:t xml:space="preserve">2026-10-26</x:t>
        </x:is>
      </x:c>
      <x:c r="M10" s="13" t="str">
        <x:f>'All Direct Jobs'!M13</x:f>
        <x:v>Not Applied</x:v>
      </x:c>
      <x:c r="N10" s="13" t="str">
        <x:f>IF('All Direct Jobs'!N13="","",'All Direct Jobs'!N13)</x:f>
      </x:c>
      <x:c r="O10" s="13" t="str">
        <x:f>IF('All Direct Jobs'!O13="","",'All Direct Jobs'!O13)</x:f>
      </x:c>
    </x:row>
    <x:row r="11">
      <x:c r="A11" s="13" t="inlineStr">
        <x:is>
          <x:t xml:space="preserve">⭐ Strong Fit</x:t>
        </x:is>
      </x:c>
      <x:c r="B11" s="13" t="inlineStr">
        <x:is>
          <x:t xml:space="preserve">Mastercard</x:t>
        </x:is>
      </x:c>
      <x:c r="C11" s="13" t="inlineStr">
        <x:is>
          <x:t xml:space="preserve">Security Monitoring and Response Analyst II</x:t>
        </x:is>
      </x:c>
      <x:c r="D11" s="13" t="inlineStr">
        <x:is>
          <x:t xml:space="preserve">SOC / Incident Response</x:t>
        </x:is>
      </x:c>
      <x:c r="E11" s="13" t="inlineStr">
        <x:is>
          <x:t xml:space="preserve">O'Fallon, MO</x:t>
        </x:is>
      </x:c>
      <x:c r="F11" s="13" t="inlineStr">
        <x:is>
          <x:t xml:space="preserve">Early career</x:t>
        </x:is>
      </x:c>
      <x:c r="G11" s="13" t="inlineStr">
        <x:is>
          <x:t xml:space="preserve">Strong sponsor-profile employer; confirm exact requisition</x:t>
        </x:is>
      </x:c>
      <x:c r="H11" s="13" t="inlineStr">
        <x:is>
          <x:t xml:space="preserve">Strong</x:t>
        </x:is>
      </x:c>
      <x:c r="I11" s="13" t="inlineStr">
        <x:is>
          <x:t xml:space="preserve">Not listed</x:t>
        </x:is>
      </x:c>
      <x:c r="J11" s="72" t="inlineStr">
        <x:is>
          <x:t xml:space="preserve">Apply →</x:t>
        </x:is>
      </x:c>
      <x:c r="K11" s="72" t="inlineStr">
        <x:is>
          <x:t xml:space="preserve">https://mastercard.wd1.myworkdayjobs.com/en-US/CorporateCareers/job/Corporate-Security-Operations-Analyst-II_R-292111-1</x:t>
        </x:is>
      </x:c>
      <x:c r="L11" s="13" t="inlineStr">
        <x:is>
          <x:t xml:space="preserve">2026-10-26</x:t>
        </x:is>
      </x:c>
      <x:c r="M11" s="13" t="str">
        <x:f>'All Direct Jobs'!M14</x:f>
        <x:v>Not Applied</x:v>
      </x:c>
      <x:c r="N11" s="13" t="str">
        <x:f>IF('All Direct Jobs'!N14="","",'All Direct Jobs'!N14)</x:f>
      </x:c>
      <x:c r="O11" s="13" t="str">
        <x:f>IF('All Direct Jobs'!O14="","",'All Direct Jobs'!O14)</x:f>
      </x:c>
    </x:row>
    <x:row r="12">
      <x:c r="A12" s="13" t="inlineStr">
        <x:is>
          <x:t xml:space="preserve">⭐ Strong Fit</x:t>
        </x:is>
      </x:c>
      <x:c r="B12" s="13" t="inlineStr">
        <x:is>
          <x:t xml:space="preserve">Forward Financing</x:t>
        </x:is>
      </x:c>
      <x:c r="C12" s="13" t="inlineStr">
        <x:is>
          <x:t xml:space="preserve">GRC Analyst</x:t>
        </x:is>
      </x:c>
      <x:c r="D12" s="13" t="inlineStr">
        <x:is>
          <x:t xml:space="preserve">GRC / Compliance</x:t>
        </x:is>
      </x:c>
      <x:c r="E12" s="13" t="inlineStr">
        <x:is>
          <x:t xml:space="preserve">Remote US</x:t>
        </x:is>
      </x:c>
      <x:c r="F12" s="13" t="inlineStr">
        <x:is>
          <x:t xml:space="preserve">Early career</x:t>
        </x:is>
      </x:c>
      <x:c r="G12" s="13" t="inlineStr">
        <x:is>
          <x:t xml:space="preserve">No explicit no-sponsorship blocker found; confirm future H-1B</x:t>
        </x:is>
      </x:c>
      <x:c r="H12" s="13" t="inlineStr">
        <x:is>
          <x:t xml:space="preserve">Strong</x:t>
        </x:is>
      </x:c>
      <x:c r="I12" s="13" t="inlineStr">
        <x:is>
          <x:t xml:space="preserve">$85K–$108K</x:t>
        </x:is>
      </x:c>
      <x:c r="J12" s="72" t="inlineStr">
        <x:is>
          <x:t xml:space="preserve">Apply →</x:t>
        </x:is>
      </x:c>
      <x:c r="K12" s="72" t="inlineStr">
        <x:is>
          <x:t xml:space="preserve">https://jobs.ashbyhq.com/Forward%20Financing/258f44d1-4d17-4f19-b702-0487abdf8dd9</x:t>
        </x:is>
      </x:c>
      <x:c r="L12" s="13" t="inlineStr">
        <x:is>
          <x:t xml:space="preserve">2026-10-26</x:t>
        </x:is>
      </x:c>
      <x:c r="M12" s="13" t="str">
        <x:f>'All Direct Jobs'!M16</x:f>
        <x:v>Not Applied</x:v>
      </x:c>
      <x:c r="N12" s="13" t="str">
        <x:f>IF('All Direct Jobs'!N16="","",'All Direct Jobs'!N16)</x:f>
      </x:c>
      <x:c r="O12" s="13" t="str">
        <x:f>IF('All Direct Jobs'!O16="","",'All Direct Jobs'!O16)</x:f>
      </x:c>
    </x:row>
    <x:row r="13">
      <x:c r="A13" s="13" t="inlineStr">
        <x:is>
          <x:t xml:space="preserve">⭐ Strong Fit</x:t>
        </x:is>
      </x:c>
      <x:c r="B13" s="13" t="inlineStr">
        <x:is>
          <x:t xml:space="preserve">Corelight</x:t>
        </x:is>
      </x:c>
      <x:c r="C13" s="13" t="inlineStr">
        <x:is>
          <x:t xml:space="preserve">Associate Escalation Engineer</x:t>
        </x:is>
      </x:c>
      <x:c r="D13" s="13" t="inlineStr">
        <x:is>
          <x:t xml:space="preserve">Network Security</x:t>
        </x:is>
      </x:c>
      <x:c r="E13" s="13" t="inlineStr">
        <x:is>
          <x:t xml:space="preserve">United States</x:t>
        </x:is>
      </x:c>
      <x:c r="F13" s="13" t="inlineStr">
        <x:is>
          <x:t xml:space="preserve">Associate</x:t>
        </x:is>
      </x:c>
      <x:c r="G13" s="13" t="inlineStr">
        <x:is>
          <x:t xml:space="preserve">No explicit no-sponsorship blocker found; confirm future H-1B</x:t>
        </x:is>
      </x:c>
      <x:c r="H13" s="13" t="inlineStr">
        <x:is>
          <x:t xml:space="preserve">Strong</x:t>
        </x:is>
      </x:c>
      <x:c r="I13" s="13" t="inlineStr">
        <x:is>
          <x:t xml:space="preserve">Not listed</x:t>
        </x:is>
      </x:c>
      <x:c r="J13" s="72" t="inlineStr">
        <x:is>
          <x:t xml:space="preserve">Apply →</x:t>
        </x:is>
      </x:c>
      <x:c r="K13" s="72" t="inlineStr">
        <x:is>
          <x:t xml:space="preserve">https://job-boards.greenhouse.io/corelight/jobs/8287269</x:t>
        </x:is>
      </x:c>
      <x:c r="L13" s="13" t="inlineStr">
        <x:is>
          <x:t xml:space="preserve">2026-10-26</x:t>
        </x:is>
      </x:c>
      <x:c r="M13" s="13" t="str">
        <x:f>'All Direct Jobs'!M17</x:f>
        <x:v>Not Applied</x:v>
      </x:c>
      <x:c r="N13" s="13" t="str">
        <x:f>IF('All Direct Jobs'!N17="","",'All Direct Jobs'!N17)</x:f>
      </x:c>
      <x:c r="O13" s="13" t="str">
        <x:f>IF('All Direct Jobs'!O17="","",'All Direct Jobs'!O17)</x:f>
      </x:c>
    </x:row>
    <x:row r="14">
      <x:c r="A14" s="13" t="inlineStr">
        <x:is>
          <x:t xml:space="preserve">⭐ Strong Fit</x:t>
        </x:is>
      </x:c>
      <x:c r="B14" s="13" t="inlineStr">
        <x:is>
          <x:t xml:space="preserve">Verkada</x:t>
        </x:is>
      </x:c>
      <x:c r="C14" s="13" t="inlineStr">
        <x:is>
          <x:t xml:space="preserve">Associate Solutions Engineer</x:t>
        </x:is>
      </x:c>
      <x:c r="D14" s="13" t="inlineStr">
        <x:is>
          <x:t xml:space="preserve">Security Solutions</x:t>
        </x:is>
      </x:c>
      <x:c r="E14" s="13" t="inlineStr">
        <x:is>
          <x:t xml:space="preserve">San Mateo, CA</x:t>
        </x:is>
      </x:c>
      <x:c r="F14" s="13" t="inlineStr">
        <x:is>
          <x:t xml:space="preserve">Associate</x:t>
        </x:is>
      </x:c>
      <x:c r="G14" s="13" t="inlineStr">
        <x:is>
          <x:t xml:space="preserve">Sponsor-capable employer; confirm exact requisition</x:t>
        </x:is>
      </x:c>
      <x:c r="H14" s="13" t="inlineStr">
        <x:is>
          <x:t xml:space="preserve">Strong</x:t>
        </x:is>
      </x:c>
      <x:c r="I14" s="13" t="inlineStr">
        <x:is>
          <x:t xml:space="preserve">Not listed</x:t>
        </x:is>
      </x:c>
      <x:c r="J14" s="72" t="inlineStr">
        <x:is>
          <x:t xml:space="preserve">Apply →</x:t>
        </x:is>
      </x:c>
      <x:c r="K14" s="72" t="inlineStr">
        <x:is>
          <x:t xml:space="preserve">https://job-boards.greenhouse.io/verkada/jobs/4135277007</x:t>
        </x:is>
      </x:c>
      <x:c r="L14" s="13" t="inlineStr">
        <x:is>
          <x:t xml:space="preserve">2026-10-26</x:t>
        </x:is>
      </x:c>
      <x:c r="M14" s="13" t="str">
        <x:f>'All Direct Jobs'!M20</x:f>
        <x:v>Not Applied</x:v>
      </x:c>
      <x:c r="N14" s="13" t="str">
        <x:f>IF('All Direct Jobs'!N20="","",'All Direct Jobs'!N20)</x:f>
      </x:c>
      <x:c r="O14" s="13" t="str">
        <x:f>IF('All Direct Jobs'!O20="","",'All Direct Jobs'!O20)</x:f>
      </x:c>
    </x:row>
    <x:row r="15">
      <x:c r="A15" s="13" t="inlineStr">
        <x:is>
          <x:t xml:space="preserve">⭐ Strong Fit</x:t>
        </x:is>
      </x:c>
      <x:c r="B15" s="13" t="inlineStr">
        <x:is>
          <x:t xml:space="preserve">ExtraHop</x:t>
        </x:is>
      </x:c>
      <x:c r="C15" s="13" t="inlineStr">
        <x:is>
          <x:t xml:space="preserve">Support Engineer I</x:t>
        </x:is>
      </x:c>
      <x:c r="D15" s="13" t="inlineStr">
        <x:is>
          <x:t xml:space="preserve">Network Detection &amp; Response</x:t>
        </x:is>
      </x:c>
      <x:c r="E15" s="13" t="inlineStr">
        <x:is>
          <x:t xml:space="preserve">Raleigh, NC</x:t>
        </x:is>
      </x:c>
      <x:c r="F15" s="13" t="inlineStr">
        <x:is>
          <x:t xml:space="preserve">Engineer I</x:t>
        </x:is>
      </x:c>
      <x:c r="G15" s="13" t="inlineStr">
        <x:is>
          <x:t xml:space="preserve">Cybersecurity employer; confirm exact-role sponsorship</x:t>
        </x:is>
      </x:c>
      <x:c r="H15" s="13" t="inlineStr">
        <x:is>
          <x:t xml:space="preserve">Strong</x:t>
        </x:is>
      </x:c>
      <x:c r="I15" s="13" t="inlineStr">
        <x:is>
          <x:t xml:space="preserve">Not listed</x:t>
        </x:is>
      </x:c>
      <x:c r="J15" s="72" t="inlineStr">
        <x:is>
          <x:t xml:space="preserve">Apply →</x:t>
        </x:is>
      </x:c>
      <x:c r="K15" s="72" t="inlineStr">
        <x:is>
          <x:t xml:space="preserve">https://job-boards.greenhouse.io/extrahopnetworks/jobs/6211107004</x:t>
        </x:is>
      </x:c>
      <x:c r="L15" s="13" t="inlineStr">
        <x:is>
          <x:t xml:space="preserve">2026-10-26</x:t>
        </x:is>
      </x:c>
      <x:c r="M15" s="13" t="str">
        <x:f>'All Direct Jobs'!M22</x:f>
        <x:v>Not Applied</x:v>
      </x:c>
      <x:c r="N15" s="13" t="str">
        <x:f>IF('All Direct Jobs'!N22="","",'All Direct Jobs'!N22)</x:f>
      </x:c>
      <x:c r="O15" s="13" t="str">
        <x:f>IF('All Direct Jobs'!O22="","",'All Direct Jobs'!O22)</x:f>
      </x:c>
    </x:row>
    <x:row r="16">
      <x:c r="A16" s="13" t="inlineStr">
        <x:is>
          <x:t xml:space="preserve">⭐ Strong Fit</x:t>
        </x:is>
      </x:c>
      <x:c r="B16" s="13" t="inlineStr">
        <x:is>
          <x:t xml:space="preserve">ExtraHop</x:t>
        </x:is>
      </x:c>
      <x:c r="C16" s="13" t="inlineStr">
        <x:is>
          <x:t xml:space="preserve">Support Engineer I</x:t>
        </x:is>
      </x:c>
      <x:c r="D16" s="13" t="inlineStr">
        <x:is>
          <x:t xml:space="preserve">Network Detection &amp; Response</x:t>
        </x:is>
      </x:c>
      <x:c r="E16" s="13" t="inlineStr">
        <x:is>
          <x:t xml:space="preserve">Dallas, TX</x:t>
        </x:is>
      </x:c>
      <x:c r="F16" s="13" t="inlineStr">
        <x:is>
          <x:t xml:space="preserve">Engineer I</x:t>
        </x:is>
      </x:c>
      <x:c r="G16" s="13" t="inlineStr">
        <x:is>
          <x:t xml:space="preserve">Cybersecurity employer; confirm exact-role sponsorship</x:t>
        </x:is>
      </x:c>
      <x:c r="H16" s="13" t="inlineStr">
        <x:is>
          <x:t xml:space="preserve">Strong</x:t>
        </x:is>
      </x:c>
      <x:c r="I16" s="13" t="inlineStr">
        <x:is>
          <x:t xml:space="preserve">Not listed</x:t>
        </x:is>
      </x:c>
      <x:c r="J16" s="72" t="inlineStr">
        <x:is>
          <x:t xml:space="preserve">Apply →</x:t>
        </x:is>
      </x:c>
      <x:c r="K16" s="72" t="inlineStr">
        <x:is>
          <x:t xml:space="preserve">https://job-boards.greenhouse.io/extrahopnetworks/jobs/6216038004</x:t>
        </x:is>
      </x:c>
      <x:c r="L16" s="13" t="inlineStr">
        <x:is>
          <x:t xml:space="preserve">2026-10-26</x:t>
        </x:is>
      </x:c>
      <x:c r="M16" s="13" t="str">
        <x:f>'All Direct Jobs'!M23</x:f>
        <x:v>Not Applied</x:v>
      </x:c>
      <x:c r="N16" s="13" t="str">
        <x:f>IF('All Direct Jobs'!N23="","",'All Direct Jobs'!N23)</x:f>
      </x:c>
      <x:c r="O16" s="13" t="str">
        <x:f>IF('All Direct Jobs'!O23="","",'All Direct Jobs'!O23)</x:f>
      </x:c>
    </x:row>
    <x:row r="17">
      <x:c r="A17" s="13" t="inlineStr">
        <x:is>
          <x:t xml:space="preserve">⭐ Strong Fit</x:t>
        </x:is>
      </x:c>
      <x:c r="B17" s="13" t="inlineStr">
        <x:is>
          <x:t xml:space="preserve">ExtraHop</x:t>
        </x:is>
      </x:c>
      <x:c r="C17" s="13" t="inlineStr">
        <x:is>
          <x:t xml:space="preserve">Support Engineer I</x:t>
        </x:is>
      </x:c>
      <x:c r="D17" s="13" t="inlineStr">
        <x:is>
          <x:t xml:space="preserve">Network Detection &amp; Response</x:t>
        </x:is>
      </x:c>
      <x:c r="E17" s="13" t="inlineStr">
        <x:is>
          <x:t xml:space="preserve">Seattle, WA</x:t>
        </x:is>
      </x:c>
      <x:c r="F17" s="13" t="inlineStr">
        <x:is>
          <x:t xml:space="preserve">Engineer I</x:t>
        </x:is>
      </x:c>
      <x:c r="G17" s="13" t="inlineStr">
        <x:is>
          <x:t xml:space="preserve">Cybersecurity employer; confirm exact-role sponsorship</x:t>
        </x:is>
      </x:c>
      <x:c r="H17" s="13" t="inlineStr">
        <x:is>
          <x:t xml:space="preserve">Strong</x:t>
        </x:is>
      </x:c>
      <x:c r="I17" s="13" t="inlineStr">
        <x:is>
          <x:t xml:space="preserve">Not listed</x:t>
        </x:is>
      </x:c>
      <x:c r="J17" s="72" t="inlineStr">
        <x:is>
          <x:t xml:space="preserve">Apply →</x:t>
        </x:is>
      </x:c>
      <x:c r="K17" s="72" t="inlineStr">
        <x:is>
          <x:t xml:space="preserve">https://job-boards.greenhouse.io/extrahopnetworks/jobs/6215921004</x:t>
        </x:is>
      </x:c>
      <x:c r="L17" s="13" t="inlineStr">
        <x:is>
          <x:t xml:space="preserve">2026-10-26</x:t>
        </x:is>
      </x:c>
      <x:c r="M17" s="13" t="str">
        <x:f>'All Direct Jobs'!M24</x:f>
        <x:v>Not Applied</x:v>
      </x:c>
      <x:c r="N17" s="13" t="str">
        <x:f>IF('All Direct Jobs'!N24="","",'All Direct Jobs'!N24)</x:f>
      </x:c>
      <x:c r="O17" s="13" t="str">
        <x:f>IF('All Direct Jobs'!O24="","",'All Direct Jobs'!O24)</x:f>
      </x:c>
    </x:row>
    <x:row r="18">
      <x:c r="A18" s="13" t="inlineStr">
        <x:is>
          <x:t xml:space="preserve">⭐ Strong Fit</x:t>
        </x:is>
      </x:c>
      <x:c r="B18" s="13" t="inlineStr">
        <x:is>
          <x:t xml:space="preserve">ID.me</x:t>
        </x:is>
      </x:c>
      <x:c r="C18" s="13" t="inlineStr">
        <x:is>
          <x:t xml:space="preserve">Software Development Engineer II – Life Hub (New Grad / Early Career)</x:t>
        </x:is>
      </x:c>
      <x:c r="D18" s="13" t="inlineStr">
        <x:is>
          <x:t xml:space="preserve">Identity Security Engineering</x:t>
        </x:is>
      </x:c>
      <x:c r="E18" s="13" t="inlineStr">
        <x:is>
          <x:t xml:space="preserve">Mountain View, CA</x:t>
        </x:is>
      </x:c>
      <x:c r="F18" s="13" t="inlineStr">
        <x:is>
          <x:t xml:space="preserve">New Grad / Early Career</x:t>
        </x:is>
      </x:c>
      <x:c r="G18" s="13" t="inlineStr">
        <x:is>
          <x:t xml:space="preserve">Sponsor-capable tech employer; role-level confirmation needed</x:t>
        </x:is>
      </x:c>
      <x:c r="H18" s="13" t="inlineStr">
        <x:is>
          <x:t xml:space="preserve">Strong</x:t>
        </x:is>
      </x:c>
      <x:c r="I18" s="13" t="inlineStr">
        <x:is>
          <x:t xml:space="preserve">Not listed</x:t>
        </x:is>
      </x:c>
      <x:c r="J18" s="72" t="inlineStr">
        <x:is>
          <x:t xml:space="preserve">Apply →</x:t>
        </x:is>
      </x:c>
      <x:c r="K18" s="72" t="inlineStr">
        <x:is>
          <x:t xml:space="preserve">https://job-boards.greenhouse.io/idme/jobs/8011095003</x:t>
        </x:is>
      </x:c>
      <x:c r="L18" s="13" t="inlineStr">
        <x:is>
          <x:t xml:space="preserve">2026-10-26</x:t>
        </x:is>
      </x:c>
      <x:c r="M18" s="13" t="str">
        <x:f>'All Direct Jobs'!M26</x:f>
        <x:v>Not Applied</x:v>
      </x:c>
      <x:c r="N18" s="13" t="str">
        <x:f>IF('All Direct Jobs'!N26="","",'All Direct Jobs'!N26)</x:f>
      </x:c>
      <x:c r="O18" s="13" t="str">
        <x:f>IF('All Direct Jobs'!O26="","",'All Direct Jobs'!O26)</x:f>
      </x:c>
    </x:row>
    <x:row r="19">
      <x:c r="A19" s="13" t="inlineStr">
        <x:is>
          <x:t xml:space="preserve">⭐ Strong Fit</x:t>
        </x:is>
      </x:c>
      <x:c r="B19" s="13" t="inlineStr">
        <x:is>
          <x:t xml:space="preserve">ID.me</x:t>
        </x:is>
      </x:c>
      <x:c r="C19" s="13" t="inlineStr">
        <x:is>
          <x:t xml:space="preserve">Software Engineer II, Developer Portal (New Grad / Early Career)</x:t>
        </x:is>
      </x:c>
      <x:c r="D19" s="13" t="inlineStr">
        <x:is>
          <x:t xml:space="preserve">Identity Security Engineering</x:t>
        </x:is>
      </x:c>
      <x:c r="E19" s="13" t="inlineStr">
        <x:is>
          <x:t xml:space="preserve">Mountain View, CA</x:t>
        </x:is>
      </x:c>
      <x:c r="F19" s="13" t="inlineStr">
        <x:is>
          <x:t xml:space="preserve">New Grad / Early Career</x:t>
        </x:is>
      </x:c>
      <x:c r="G19" s="13" t="inlineStr">
        <x:is>
          <x:t xml:space="preserve">Sponsor-capable tech employer; role-level confirmation needed</x:t>
        </x:is>
      </x:c>
      <x:c r="H19" s="13" t="inlineStr">
        <x:is>
          <x:t xml:space="preserve">Strong</x:t>
        </x:is>
      </x:c>
      <x:c r="I19" s="13" t="inlineStr">
        <x:is>
          <x:t xml:space="preserve">Not listed</x:t>
        </x:is>
      </x:c>
      <x:c r="J19" s="72" t="inlineStr">
        <x:is>
          <x:t xml:space="preserve">Apply →</x:t>
        </x:is>
      </x:c>
      <x:c r="K19" s="72" t="inlineStr">
        <x:is>
          <x:t xml:space="preserve">https://job-boards.greenhouse.io/idme/jobs/8011089003</x:t>
        </x:is>
      </x:c>
      <x:c r="L19" s="13" t="inlineStr">
        <x:is>
          <x:t xml:space="preserve">2026-10-26</x:t>
        </x:is>
      </x:c>
      <x:c r="M19" s="13" t="str">
        <x:f>'All Direct Jobs'!M27</x:f>
        <x:v>Not Applied</x:v>
      </x:c>
      <x:c r="N19" s="13" t="str">
        <x:f>IF('All Direct Jobs'!N27="","",'All Direct Jobs'!N27)</x:f>
      </x:c>
      <x:c r="O19" s="13" t="str">
        <x:f>IF('All Direct Jobs'!O27="","",'All Direct Jobs'!O27)</x:f>
      </x:c>
    </x:row>
    <x:row r="20">
      <x:c r="A20" s="13" t="inlineStr">
        <x:is>
          <x:t xml:space="preserve">🔥 Apply First</x:t>
        </x:is>
      </x:c>
      <x:c r="B20" s="13" t="inlineStr">
        <x:is>
          <x:t xml:space="preserve">Snowflake</x:t>
        </x:is>
      </x:c>
      <x:c r="C20" s="13" t="inlineStr">
        <x:is>
          <x:t xml:space="preserve">Security Incident Response Engineer</x:t>
        </x:is>
      </x:c>
      <x:c r="D20" s="13" t="inlineStr">
        <x:is>
          <x:t xml:space="preserve">Incident Response / SecOps</x:t>
        </x:is>
      </x:c>
      <x:c r="E20" s="13" t="inlineStr">
        <x:is>
          <x:t xml:space="preserve">California / Bay Area</x:t>
        </x:is>
      </x:c>
      <x:c r="F20" s="13" t="inlineStr">
        <x:is>
          <x:t xml:space="preserve">2+ years preferred</x:t>
        </x:is>
      </x:c>
      <x:c r="G20" s="13" t="inlineStr">
        <x:is>
          <x:t xml:space="preserve">Strong sponsor-profile employer; exact role sponsorship not guaranteed</x:t>
        </x:is>
      </x:c>
      <x:c r="H20" s="13" t="inlineStr">
        <x:is>
          <x:t xml:space="preserve">Excellent</x:t>
        </x:is>
      </x:c>
      <x:c r="I20" s="13" t="inlineStr">
        <x:is>
          <x:t xml:space="preserve">$143K–$205.8K</x:t>
        </x:is>
      </x:c>
      <x:c r="J20" s="72" t="inlineStr">
        <x:is>
          <x:t xml:space="preserve">Apply →</x:t>
        </x:is>
      </x:c>
      <x:c r="K20" s="72" t="inlineStr">
        <x:is>
          <x:t xml:space="preserve">https://careers.snowflake.com/us/en/job/7139a002-dbe3-4693-8cbc-5b780db1d29d/Incident-Response-Engineer</x:t>
        </x:is>
      </x:c>
      <x:c r="L20" s="13" t="inlineStr">
        <x:is>
          <x:t xml:space="preserve">2026-10-26</x:t>
        </x:is>
      </x:c>
      <x:c r="M20" s="13" t="str">
        <x:f>'All Direct Jobs'!M36</x:f>
        <x:v>Not Applied</x:v>
      </x:c>
      <x:c r="N20" s="13" t="str">
        <x:f>IF('All Direct Jobs'!N36="","",'All Direct Jobs'!N36)</x:f>
      </x:c>
      <x:c r="O20" s="13" t="str">
        <x:f>IF('All Direct Jobs'!O36="","",'All Direct Jobs'!O36)</x:f>
      </x:c>
    </x:row>
    <x:row r="21">
      <x:c r="A21" s="13" t="inlineStr">
        <x:is>
          <x:t xml:space="preserve">🔥 Apply First</x:t>
        </x:is>
      </x:c>
      <x:c r="B21" s="13" t="inlineStr">
        <x:is>
          <x:t xml:space="preserve">Google</x:t>
        </x:is>
      </x:c>
      <x:c r="C21" s="13" t="inlineStr">
        <x:is>
          <x:t xml:space="preserve">Cyber Defense Detection Engineer, Mandiant, Google Cloud</x:t>
        </x:is>
      </x:c>
      <x:c r="D21" s="13" t="inlineStr">
        <x:is>
          <x:t xml:space="preserve">Detection Engineering / SIEM</x:t>
        </x:is>
      </x:c>
      <x:c r="E21" s="13" t="inlineStr">
        <x:is>
          <x:t xml:space="preserve">Remote US / Ohio</x:t>
        </x:is>
      </x:c>
      <x:c r="F21" s="13" t="inlineStr">
        <x:is>
          <x:t xml:space="preserve">3+ years</x:t>
        </x:is>
      </x:c>
      <x:c r="G21" s="13" t="inlineStr">
        <x:is>
          <x:t xml:space="preserve">Very strong H-1B sponsor-profile employer</x:t>
        </x:is>
      </x:c>
      <x:c r="H21" s="13" t="inlineStr">
        <x:is>
          <x:t xml:space="preserve">Excellent</x:t>
        </x:is>
      </x:c>
      <x:c r="I21" s="13" t="inlineStr">
        <x:is>
          <x:t xml:space="preserve">$112K–$161K</x:t>
        </x:is>
      </x:c>
      <x:c r="J21" s="72" t="inlineStr">
        <x:is>
          <x:t xml:space="preserve">Apply →</x:t>
        </x:is>
      </x:c>
      <x:c r="K21" s="72" t="inlineStr">
        <x:is>
          <x:t xml:space="preserve">https://www.google.com/about/careers/applications/jobs/results/87068925161808582-cyber-defense-detection-engineer-mandiant-google-cloud</x:t>
        </x:is>
      </x:c>
      <x:c r="L21" s="13" t="inlineStr">
        <x:is>
          <x:t xml:space="preserve">2026-10-26</x:t>
        </x:is>
      </x:c>
      <x:c r="M21" s="13" t="str">
        <x:f>'All Direct Jobs'!M37</x:f>
        <x:v>Not Applied</x:v>
      </x:c>
      <x:c r="N21" s="13" t="str">
        <x:f>IF('All Direct Jobs'!N37="","",'All Direct Jobs'!N37)</x:f>
      </x:c>
      <x:c r="O21" s="13" t="str">
        <x:f>IF('All Direct Jobs'!O37="","",'All Direct Jobs'!O37)</x:f>
      </x:c>
    </x:row>
    <x:row r="22">
      <x:c r="A22" s="13" t="inlineStr">
        <x:is>
          <x:t xml:space="preserve">🔥 Apply First</x:t>
        </x:is>
      </x:c>
      <x:c r="B22" s="13" t="inlineStr">
        <x:is>
          <x:t xml:space="preserve">Google</x:t>
        </x:is>
      </x:c>
      <x:c r="C22" s="13" t="inlineStr">
        <x:is>
          <x:t xml:space="preserve">Security Engineer II, Core, Enterprise Access Security Engineering</x:t>
        </x:is>
      </x:c>
      <x:c r="D22" s="13" t="inlineStr">
        <x:is>
          <x:t xml:space="preserve">Security Engineering / IAM</x:t>
        </x:is>
      </x:c>
      <x:c r="E22" s="13" t="inlineStr">
        <x:is>
          <x:t xml:space="preserve">San Jose, CA</x:t>
        </x:is>
      </x:c>
      <x:c r="F22" s="13" t="inlineStr">
        <x:is>
          <x:t xml:space="preserve">1+ year</x:t>
        </x:is>
      </x:c>
      <x:c r="G22" s="13" t="inlineStr">
        <x:is>
          <x:t xml:space="preserve">Very strong H-1B sponsor-profile employer</x:t>
        </x:is>
      </x:c>
      <x:c r="H22" s="13" t="inlineStr">
        <x:is>
          <x:t xml:space="preserve">Excellent</x:t>
        </x:is>
      </x:c>
      <x:c r="I22" s="13" t="inlineStr">
        <x:is>
          <x:t xml:space="preserve">$123K–$174K</x:t>
        </x:is>
      </x:c>
      <x:c r="J22" s="72" t="inlineStr">
        <x:is>
          <x:t xml:space="preserve">Apply →</x:t>
        </x:is>
      </x:c>
      <x:c r="K22" s="72" t="inlineStr">
        <x:is>
          <x:t xml:space="preserve">https://www.google.com/about/careers/applications/jobs/results/125813288268112582-security-engineer-ii-core-enterprise-access-security-engineering</x:t>
        </x:is>
      </x:c>
      <x:c r="L22" s="13" t="inlineStr">
        <x:is>
          <x:t xml:space="preserve">2026-10-26</x:t>
        </x:is>
      </x:c>
      <x:c r="M22" s="13" t="str">
        <x:f>'All Direct Jobs'!M38</x:f>
        <x:v>Not Applied</x:v>
      </x:c>
      <x:c r="N22" s="13" t="str">
        <x:f>IF('All Direct Jobs'!N38="","",'All Direct Jobs'!N38)</x:f>
      </x:c>
      <x:c r="O22" s="13" t="str">
        <x:f>IF('All Direct Jobs'!O38="","",'All Direct Jobs'!O38)</x:f>
      </x:c>
    </x:row>
    <x:row r="23">
      <x:c r="A23" s="13" t="inlineStr">
        <x:is>
          <x:t xml:space="preserve">🔥 Apply First</x:t>
        </x:is>
      </x:c>
      <x:c r="B23" s="13" t="inlineStr">
        <x:is>
          <x:t xml:space="preserve">Google</x:t>
        </x:is>
      </x:c>
      <x:c r="C23" s="13" t="inlineStr">
        <x:is>
          <x:t xml:space="preserve">Security Engineer III, Cloud Security Controls</x:t>
        </x:is>
      </x:c>
      <x:c r="D23" s="13" t="inlineStr">
        <x:is>
          <x:t xml:space="preserve">Cloud Security</x:t>
        </x:is>
      </x:c>
      <x:c r="E23" s="13" t="inlineStr">
        <x:is>
          <x:t xml:space="preserve">New York, NY / San Jose, CA</x:t>
        </x:is>
      </x:c>
      <x:c r="F23" s="13" t="inlineStr">
        <x:is>
          <x:t xml:space="preserve">2+ years</x:t>
        </x:is>
      </x:c>
      <x:c r="G23" s="13" t="inlineStr">
        <x:is>
          <x:t xml:space="preserve">Very strong H-1B sponsor-profile employer</x:t>
        </x:is>
      </x:c>
      <x:c r="H23" s="13" t="inlineStr">
        <x:is>
          <x:t xml:space="preserve">Excellent</x:t>
        </x:is>
      </x:c>
      <x:c r="I23" s="13" t="inlineStr">
        <x:is>
          <x:t xml:space="preserve">Not listed</x:t>
        </x:is>
      </x:c>
      <x:c r="J23" s="72" t="inlineStr">
        <x:is>
          <x:t xml:space="preserve">Apply →</x:t>
        </x:is>
      </x:c>
      <x:c r="K23" s="72" t="inlineStr">
        <x:is>
          <x:t xml:space="preserve">https://www.google.com/about/careers/applications/jobs/results/136535844847526598-security-engineer-iii-cloud-security-controls</x:t>
        </x:is>
      </x:c>
      <x:c r="L23" s="13" t="inlineStr">
        <x:is>
          <x:t xml:space="preserve">2026-10-26</x:t>
        </x:is>
      </x:c>
      <x:c r="M23" s="13" t="str">
        <x:f>'All Direct Jobs'!M39</x:f>
        <x:v>Not Applied</x:v>
      </x:c>
      <x:c r="N23" s="13" t="str">
        <x:f>IF('All Direct Jobs'!N39="","",'All Direct Jobs'!N39)</x:f>
      </x:c>
      <x:c r="O23" s="13" t="str">
        <x:f>IF('All Direct Jobs'!O39="","",'All Direct Jobs'!O39)</x:f>
      </x:c>
    </x:row>
    <x:row r="24">
      <x:c r="A24" s="13" t="inlineStr">
        <x:is>
          <x:t xml:space="preserve">🔥 Apply First</x:t>
        </x:is>
      </x:c>
      <x:c r="B24" s="13" t="inlineStr">
        <x:is>
          <x:t xml:space="preserve">Travelers</x:t>
        </x:is>
      </x:c>
      <x:c r="C24" s="13" t="inlineStr">
        <x:is>
          <x:t xml:space="preserve">Cybersecurity Ops Technologist I - Splunk SIEM Engineer</x:t>
        </x:is>
      </x:c>
      <x:c r="D24" s="13" t="inlineStr">
        <x:is>
          <x:t xml:space="preserve">SIEM / Detection</x:t>
        </x:is>
      </x:c>
      <x:c r="E24" s="13" t="inlineStr">
        <x:is>
          <x:t xml:space="preserve">Atlanta, GA</x:t>
        </x:is>
      </x:c>
      <x:c r="F24" s="13" t="inlineStr">
        <x:is>
          <x:t xml:space="preserve">2+ years</x:t>
        </x:is>
      </x:c>
      <x:c r="G24" s="13" t="inlineStr">
        <x:is>
          <x:t xml:space="preserve">No explicit no-sponsorship statement surfaced; exact-role verification recommended</x:t>
        </x:is>
      </x:c>
      <x:c r="H24" s="13" t="inlineStr">
        <x:is>
          <x:t xml:space="preserve">Excellent</x:t>
        </x:is>
      </x:c>
      <x:c r="I24" s="13" t="inlineStr">
        <x:is>
          <x:t xml:space="preserve">$99.1K–$163.4K</x:t>
        </x:is>
      </x:c>
      <x:c r="J24" s="72" t="inlineStr">
        <x:is>
          <x:t xml:space="preserve">Apply →</x:t>
        </x:is>
      </x:c>
      <x:c r="K24" s="72" t="inlineStr">
        <x:is>
          <x:t xml:space="preserve">https://travelers.wd5.myworkdayjobs.com/External/job/CT---Hartford/Cybersecurity-Ops-Technologist---Splunk-SIEM-Engineer_R-51597</x:t>
        </x:is>
      </x:c>
      <x:c r="L24" s="13" t="inlineStr">
        <x:is>
          <x:t xml:space="preserve">2026-10-26</x:t>
        </x:is>
      </x:c>
      <x:c r="M24" s="13" t="str">
        <x:f>'All Direct Jobs'!M40</x:f>
        <x:v>Not Applied</x:v>
      </x:c>
      <x:c r="N24" s="13" t="str">
        <x:f>IF('All Direct Jobs'!N40="","",'All Direct Jobs'!N40)</x:f>
      </x:c>
      <x:c r="O24" s="13" t="str">
        <x:f>IF('All Direct Jobs'!O40="","",'All Direct Jobs'!O40)</x:f>
      </x:c>
    </x:row>
    <x:row r="25">
      <x:c r="A25" s="13" t="inlineStr">
        <x:is>
          <x:t xml:space="preserve">🔥 Apply First</x:t>
        </x:is>
      </x:c>
      <x:c r="B25" s="13" t="inlineStr">
        <x:is>
          <x:t xml:space="preserve">Amazon / AWS</x:t>
        </x:is>
      </x:c>
      <x:c r="C25" s="13" t="inlineStr">
        <x:is>
          <x:t xml:space="preserve">Application Security Engineer</x:t>
        </x:is>
      </x:c>
      <x:c r="D25" s="13" t="inlineStr">
        <x:is>
          <x:t xml:space="preserve">Application Security</x:t>
        </x:is>
      </x:c>
      <x:c r="E25" s="13" t="inlineStr">
        <x:is>
          <x:t xml:space="preserve">Arlington, VA</x:t>
        </x:is>
      </x:c>
      <x:c r="F25" s="13" t="inlineStr">
        <x:is>
          <x:t xml:space="preserve">2+ years</x:t>
        </x:is>
      </x:c>
      <x:c r="G25" s="13" t="inlineStr">
        <x:is>
          <x:t xml:space="preserve">Very strong H-1B sponsor-profile employer</x:t>
        </x:is>
      </x:c>
      <x:c r="H25" s="13" t="inlineStr">
        <x:is>
          <x:t xml:space="preserve">Excellent</x:t>
        </x:is>
      </x:c>
      <x:c r="I25" s="13" t="inlineStr">
        <x:is>
          <x:t xml:space="preserve">$159.3K–$202.4K</x:t>
        </x:is>
      </x:c>
      <x:c r="J25" s="72" t="inlineStr">
        <x:is>
          <x:t xml:space="preserve">Apply →</x:t>
        </x:is>
      </x:c>
      <x:c r="K25" s="72" t="inlineStr">
        <x:is>
          <x:t xml:space="preserve">https://www.amazon.jobs/en/jobs/10568241/application-security-engineer</x:t>
        </x:is>
      </x:c>
      <x:c r="L25" s="13" t="inlineStr">
        <x:is>
          <x:t xml:space="preserve">2026-10-26</x:t>
        </x:is>
      </x:c>
      <x:c r="M25" s="13" t="str">
        <x:f>'All Direct Jobs'!M43</x:f>
        <x:v>Not Applied</x:v>
      </x:c>
      <x:c r="N25" s="13" t="str">
        <x:f>IF('All Direct Jobs'!N43="","",'All Direct Jobs'!N43)</x:f>
      </x:c>
      <x:c r="O25" s="13" t="str">
        <x:f>IF('All Direct Jobs'!O43="","",'All Direct Jobs'!O43)</x:f>
      </x:c>
    </x:row>
    <x:row r="26">
      <x:c r="A26" s="13" t="inlineStr">
        <x:is>
          <x:t xml:space="preserve">⭐ Strong Fit</x:t>
        </x:is>
      </x:c>
      <x:c r="B26" s="13" t="inlineStr">
        <x:is>
          <x:t xml:space="preserve">Amazon / AWS</x:t>
        </x:is>
      </x:c>
      <x:c r="C26" s="13" t="inlineStr">
        <x:is>
          <x:t xml:space="preserve">Application Security Engineer</x:t>
        </x:is>
      </x:c>
      <x:c r="D26" s="13" t="inlineStr">
        <x:is>
          <x:t xml:space="preserve">Application Security</x:t>
        </x:is>
      </x:c>
      <x:c r="E26" s="13" t="inlineStr">
        <x:is>
          <x:t xml:space="preserve">Arlington, VA</x:t>
        </x:is>
      </x:c>
      <x:c r="F26" s="13" t="inlineStr">
        <x:is>
          <x:t xml:space="preserve">2+ years</x:t>
        </x:is>
      </x:c>
      <x:c r="G26" s="13" t="inlineStr">
        <x:is>
          <x:t xml:space="preserve">Very strong H-1B sponsor-profile employer</x:t>
        </x:is>
      </x:c>
      <x:c r="H26" s="13" t="inlineStr">
        <x:is>
          <x:t xml:space="preserve">Excellent</x:t>
        </x:is>
      </x:c>
      <x:c r="I26" s="13" t="inlineStr">
        <x:is>
          <x:t xml:space="preserve">$159.3K–$202.4K</x:t>
        </x:is>
      </x:c>
      <x:c r="J26" s="72" t="inlineStr">
        <x:is>
          <x:t xml:space="preserve">Apply →</x:t>
        </x:is>
      </x:c>
      <x:c r="K26" s="72" t="inlineStr">
        <x:is>
          <x:t xml:space="preserve">https://www.amazon.jobs/en/jobs/10568241/application-security-engineer</x:t>
        </x:is>
      </x:c>
      <x:c r="L26" s="13" t="inlineStr">
        <x:is>
          <x:t xml:space="preserve">2026-10-26</x:t>
        </x:is>
      </x:c>
      <x:c r="M26" s="13" t="str">
        <x:f>'All Direct Jobs'!M43</x:f>
        <x:v>Not Applied</x:v>
      </x:c>
      <x:c r="N26" s="13" t="str">
        <x:f>IF('All Direct Jobs'!N43="","",'All Direct Jobs'!N43)</x:f>
      </x:c>
      <x:c r="O26" s="13" t="str">
        <x:f>IF('All Direct Jobs'!O43="","",'All Direct Jobs'!O43)</x:f>
      </x:c>
    </x:row>
    <x:row r="27">
      <x:c r="A27" s="13" t="inlineStr">
        <x:is>
          <x:t xml:space="preserve">⭐ Strong Fit</x:t>
        </x:is>
      </x:c>
      <x:c r="B27" s="13" t="inlineStr">
        <x:is>
          <x:t xml:space="preserve">Amazon</x:t>
        </x:is>
      </x:c>
      <x:c r="C27" s="13" t="inlineStr">
        <x:is>
          <x:t xml:space="preserve">Security Engineer II, CLS Application Security</x:t>
        </x:is>
      </x:c>
      <x:c r="D27" s="13" t="inlineStr">
        <x:is>
          <x:t xml:space="preserve">Application Security / Automation</x:t>
        </x:is>
      </x:c>
      <x:c r="E27" s="13" t="inlineStr">
        <x:is>
          <x:t xml:space="preserve">Irvine, CA</x:t>
        </x:is>
      </x:c>
      <x:c r="F27" s="13" t="inlineStr">
        <x:is>
          <x:t xml:space="preserve">2+ years</x:t>
        </x:is>
      </x:c>
      <x:c r="G27" s="13" t="inlineStr">
        <x:is>
          <x:t xml:space="preserve">Very strong H-1B sponsor-profile employer</x:t>
        </x:is>
      </x:c>
      <x:c r="H27" s="13" t="inlineStr">
        <x:is>
          <x:t xml:space="preserve">Strong</x:t>
        </x:is>
      </x:c>
      <x:c r="I27" s="13" t="inlineStr">
        <x:is>
          <x:t xml:space="preserve">$159.3K–$202.4K</x:t>
        </x:is>
      </x:c>
      <x:c r="J27" s="72" t="inlineStr">
        <x:is>
          <x:t xml:space="preserve">Apply →</x:t>
        </x:is>
      </x:c>
      <x:c r="K27" s="72" t="inlineStr">
        <x:is>
          <x:t xml:space="preserve">https://www.amazon.jobs/en/jobs/10565796/security-engineer-ii-cls-application-security</x:t>
        </x:is>
      </x:c>
      <x:c r="L27" s="13" t="inlineStr">
        <x:is>
          <x:t xml:space="preserve">2026-10-26</x:t>
        </x:is>
      </x:c>
      <x:c r="M27" s="13" t="str">
        <x:f>'All Direct Jobs'!M44</x:f>
        <x:v>Not Applied</x:v>
      </x:c>
      <x:c r="N27" s="13" t="str">
        <x:f>IF('All Direct Jobs'!N44="","",'All Direct Jobs'!N44)</x:f>
      </x:c>
      <x:c r="O27" s="13" t="str">
        <x:f>IF('All Direct Jobs'!O44="","",'All Direct Jobs'!O44)</x:f>
      </x:c>
    </x:row>
    <x:row r="28">
      <x:c r="A28" s="13" t="inlineStr">
        <x:is>
          <x:t xml:space="preserve">🔥 Apply First</x:t>
        </x:is>
      </x:c>
      <x:c r="B28" s="13" t="inlineStr">
        <x:is>
          <x:t xml:space="preserve">Amazon / AWS</x:t>
        </x:is>
      </x:c>
      <x:c r="C28" s="13" t="inlineStr">
        <x:is>
          <x:t xml:space="preserve">Security Engineer II, Amazon GuardDuty</x:t>
        </x:is>
      </x:c>
      <x:c r="D28" s="13" t="inlineStr">
        <x:is>
          <x:t xml:space="preserve">Threat Detection / Cloud Security</x:t>
        </x:is>
      </x:c>
      <x:c r="E28" s="13" t="inlineStr">
        <x:is>
          <x:t xml:space="preserve">Seattle, WA / New York, NY</x:t>
        </x:is>
      </x:c>
      <x:c r="F28" s="13" t="inlineStr">
        <x:is>
          <x:t xml:space="preserve">2+ years IT security accepted</x:t>
        </x:is>
      </x:c>
      <x:c r="G28" s="13" t="inlineStr">
        <x:is>
          <x:t xml:space="preserve">Very strong H-1B sponsor-profile employer</x:t>
        </x:is>
      </x:c>
      <x:c r="H28" s="13" t="inlineStr">
        <x:is>
          <x:t xml:space="preserve">Excellent</x:t>
        </x:is>
      </x:c>
      <x:c r="I28" s="13" t="inlineStr">
        <x:is>
          <x:t xml:space="preserve">$159.3K–$212.8K</x:t>
        </x:is>
      </x:c>
      <x:c r="J28" s="72" t="inlineStr">
        <x:is>
          <x:t xml:space="preserve">Apply →</x:t>
        </x:is>
      </x:c>
      <x:c r="K28" s="72" t="inlineStr">
        <x:is>
          <x:t xml:space="preserve">https://amazon.jobs/en/jobs/10537429/security-engineer-ii-amazon-guardduty</x:t>
        </x:is>
      </x:c>
      <x:c r="L28" s="13" t="inlineStr">
        <x:is>
          <x:t xml:space="preserve">2026-10-26</x:t>
        </x:is>
      </x:c>
      <x:c r="M28" s="13" t="str">
        <x:f>'All Direct Jobs'!M46</x:f>
        <x:v>Not Applied</x:v>
      </x:c>
      <x:c r="N28" s="13" t="str">
        <x:f>IF('All Direct Jobs'!N46="","",'All Direct Jobs'!N46)</x:f>
      </x:c>
      <x:c r="O28" s="13" t="str">
        <x:f>IF('All Direct Jobs'!O46="","",'All Direct Jobs'!O46)</x:f>
      </x:c>
    </x:row>
    <x:row r="29">
      <x:c r="A29" s="13" t="inlineStr">
        <x:is>
          <x:t xml:space="preserve">⭐ Strong Fit</x:t>
        </x:is>
      </x:c>
      <x:c r="B29" s="13" t="inlineStr">
        <x:is>
          <x:t xml:space="preserve">Amazon</x:t>
        </x:is>
      </x:c>
      <x:c r="C29" s="13" t="inlineStr">
        <x:is>
          <x:t xml:space="preserve">Security Engineer II – AMZ006250</x:t>
        </x:is>
      </x:c>
      <x:c r="D29" s="13" t="inlineStr">
        <x:is>
          <x:t xml:space="preserve">Security Engineering / AppSec</x:t>
        </x:is>
      </x:c>
      <x:c r="E29" s="13" t="inlineStr">
        <x:is>
          <x:t xml:space="preserve">New York, NY</x:t>
        </x:is>
      </x:c>
      <x:c r="F29" s="13" t="inlineStr">
        <x:is>
          <x:t xml:space="preserve">1+ year relevant</x:t>
        </x:is>
      </x:c>
      <x:c r="G29" s="13" t="inlineStr">
        <x:is>
          <x:t xml:space="preserve">Very strong H-1B sponsor-profile employer</x:t>
        </x:is>
      </x:c>
      <x:c r="H29" s="13" t="inlineStr">
        <x:is>
          <x:t xml:space="preserve">Excellent</x:t>
        </x:is>
      </x:c>
      <x:c r="I29" s="13" t="inlineStr">
        <x:is>
          <x:t xml:space="preserve">$159.3K–$212.8K</x:t>
        </x:is>
      </x:c>
      <x:c r="J29" s="72" t="inlineStr">
        <x:is>
          <x:t xml:space="preserve">Apply →</x:t>
        </x:is>
      </x:c>
      <x:c r="K29" s="72" t="inlineStr">
        <x:is>
          <x:t xml:space="preserve">https://www.amazon.jobs/en/jobs/10445980/sec-engineer-ii-amz006250</x:t>
        </x:is>
      </x:c>
      <x:c r="L29" s="13" t="inlineStr">
        <x:is>
          <x:t xml:space="preserve">2026-10-26</x:t>
        </x:is>
      </x:c>
      <x:c r="M29" s="13" t="str">
        <x:f>'All Direct Jobs'!M47</x:f>
        <x:v>Not Applied</x:v>
      </x:c>
      <x:c r="N29" s="13" t="str">
        <x:f>IF('All Direct Jobs'!N47="","",'All Direct Jobs'!N47)</x:f>
      </x:c>
      <x:c r="O29" s="13" t="str">
        <x:f>IF('All Direct Jobs'!O47="","",'All Direct Jobs'!O47)</x:f>
      </x:c>
    </x:row>
    <x:row r="30">
      <x:c r="A30" s="13" t="inlineStr">
        <x:is>
          <x:t xml:space="preserve">🔥 Apply First</x:t>
        </x:is>
      </x:c>
      <x:c r="B30" s="13" t="inlineStr">
        <x:is>
          <x:t xml:space="preserve">Amazon</x:t>
        </x:is>
      </x:c>
      <x:c r="C30" s="13" t="inlineStr">
        <x:is>
          <x:t xml:space="preserve">Security Engineer II, Security Incident Response Team (SIRT)</x:t>
        </x:is>
      </x:c>
      <x:c r="D30" s="13" t="inlineStr">
        <x:is>
          <x:t xml:space="preserve">Incident Response</x:t>
        </x:is>
      </x:c>
      <x:c r="E30" s="13" t="inlineStr">
        <x:is>
          <x:t xml:space="preserve">United States</x:t>
        </x:is>
      </x:c>
      <x:c r="F30" s="13" t="inlineStr">
        <x:is>
          <x:t xml:space="preserve">Mid-career; diverse experience encouraged</x:t>
        </x:is>
      </x:c>
      <x:c r="G30" s="13" t="inlineStr">
        <x:is>
          <x:t xml:space="preserve">Very strong H-1B sponsor-profile employer</x:t>
        </x:is>
      </x:c>
      <x:c r="H30" s="13" t="inlineStr">
        <x:is>
          <x:t xml:space="preserve">Excellent</x:t>
        </x:is>
      </x:c>
      <x:c r="I30" s="13" t="inlineStr">
        <x:is>
          <x:t xml:space="preserve">Not listed</x:t>
        </x:is>
      </x:c>
      <x:c r="J30" s="72" t="inlineStr">
        <x:is>
          <x:t xml:space="preserve">Apply →</x:t>
        </x:is>
      </x:c>
      <x:c r="K30" s="72" t="inlineStr">
        <x:is>
          <x:t xml:space="preserve">https://www.amazon.jobs/en/jobs/10471418/security-engineer-ii-security-incident-response-team-sirt</x:t>
        </x:is>
      </x:c>
      <x:c r="L30" s="13" t="inlineStr">
        <x:is>
          <x:t xml:space="preserve">2026-10-26</x:t>
        </x:is>
      </x:c>
      <x:c r="M30" s="13" t="str">
        <x:f>'All Direct Jobs'!M48</x:f>
        <x:v>Not Applied</x:v>
      </x:c>
      <x:c r="N30" s="13" t="str">
        <x:f>IF('All Direct Jobs'!N48="","",'All Direct Jobs'!N48)</x:f>
      </x:c>
      <x:c r="O30" s="13" t="str">
        <x:f>IF('All Direct Jobs'!O48="","",'All Direct Jobs'!O48)</x:f>
      </x:c>
    </x:row>
    <x:row r="31">
      <x:c r="A31" s="13" t="inlineStr">
        <x:is>
          <x:t xml:space="preserve">⭐ Strong Fit</x:t>
        </x:is>
      </x:c>
      <x:c r="B31" s="13" t="inlineStr">
        <x:is>
          <x:t xml:space="preserve">Amazon / AWS</x:t>
        </x:is>
      </x:c>
      <x:c r="C31" s="13" t="inlineStr">
        <x:is>
          <x:t xml:space="preserve">Security Engineer II - AMZ27587.1</x:t>
        </x:is>
      </x:c>
      <x:c r="D31" s="13" t="inlineStr">
        <x:is>
          <x:t xml:space="preserve">Security Engineering</x:t>
        </x:is>
      </x:c>
      <x:c r="E31" s="13" t="inlineStr">
        <x:is>
          <x:t xml:space="preserve">Minneapolis, MN</x:t>
        </x:is>
      </x:c>
      <x:c r="F31" s="13" t="inlineStr">
        <x:is>
          <x:t xml:space="preserve">Security Engineer II</x:t>
        </x:is>
      </x:c>
      <x:c r="G31" s="13" t="inlineStr">
        <x:is>
          <x:t xml:space="preserve">Very strong H-1B sponsor-profile employer</x:t>
        </x:is>
      </x:c>
      <x:c r="H31" s="13" t="inlineStr">
        <x:is>
          <x:t xml:space="preserve">Strong</x:t>
        </x:is>
      </x:c>
      <x:c r="I31" s="13" t="inlineStr">
        <x:is>
          <x:t xml:space="preserve">$159.3K–$202.4K</x:t>
        </x:is>
      </x:c>
      <x:c r="J31" s="72" t="inlineStr">
        <x:is>
          <x:t xml:space="preserve">Apply →</x:t>
        </x:is>
      </x:c>
      <x:c r="K31" s="72" t="inlineStr">
        <x:is>
          <x:t xml:space="preserve">https://www.amazon.jobs/en/jobs/10464931/security-engineer-ii-amz27587-1</x:t>
        </x:is>
      </x:c>
      <x:c r="L31" s="13" t="inlineStr">
        <x:is>
          <x:t xml:space="preserve">2026-10-26</x:t>
        </x:is>
      </x:c>
      <x:c r="M31" s="13" t="str">
        <x:f>'All Direct Jobs'!M49</x:f>
        <x:v>Not Applied</x:v>
      </x:c>
      <x:c r="N31" s="13" t="str">
        <x:f>IF('All Direct Jobs'!N49="","",'All Direct Jobs'!N49)</x:f>
      </x:c>
      <x:c r="O31" s="13" t="str">
        <x:f>IF('All Direct Jobs'!O49="","",'All Direct Jobs'!O49)</x:f>
      </x:c>
    </x:row>
    <x:row r="32">
      <x:c r="A32" s="13" t="inlineStr">
        <x:is>
          <x:t xml:space="preserve">⭐ Strong Fit</x:t>
        </x:is>
      </x:c>
      <x:c r="B32" s="13" t="inlineStr">
        <x:is>
          <x:t xml:space="preserve">Amazon</x:t>
        </x:is>
      </x:c>
      <x:c r="C32" s="13" t="inlineStr">
        <x:is>
          <x:t xml:space="preserve">Security Engineer II, Customer Logistics Security</x:t>
        </x:is>
      </x:c>
      <x:c r="D32" s="13" t="inlineStr">
        <x:is>
          <x:t xml:space="preserve">Vulnerability / Cloud Security</x:t>
        </x:is>
      </x:c>
      <x:c r="E32" s="13" t="inlineStr">
        <x:is>
          <x:t xml:space="preserve">United States</x:t>
        </x:is>
      </x:c>
      <x:c r="F32" s="13" t="inlineStr">
        <x:is>
          <x:t xml:space="preserve">Security Engineer II</x:t>
        </x:is>
      </x:c>
      <x:c r="G32" s="13" t="inlineStr">
        <x:is>
          <x:t xml:space="preserve">Very strong H-1B sponsor-profile employer</x:t>
        </x:is>
      </x:c>
      <x:c r="H32" s="13" t="inlineStr">
        <x:is>
          <x:t xml:space="preserve">Strong</x:t>
        </x:is>
      </x:c>
      <x:c r="I32" s="13" t="inlineStr">
        <x:is>
          <x:t xml:space="preserve">Not listed</x:t>
        </x:is>
      </x:c>
      <x:c r="J32" s="72" t="inlineStr">
        <x:is>
          <x:t xml:space="preserve">Apply →</x:t>
        </x:is>
      </x:c>
      <x:c r="K32" s="72" t="inlineStr">
        <x:is>
          <x:t xml:space="preserve">https://amazon.jobs/en/jobs/10516573/security-engineer-ii-customer-logistics-security</x:t>
        </x:is>
      </x:c>
      <x:c r="L32" s="13" t="inlineStr">
        <x:is>
          <x:t xml:space="preserve">2026-10-26</x:t>
        </x:is>
      </x:c>
      <x:c r="M32" s="13" t="str">
        <x:f>'All Direct Jobs'!M50</x:f>
        <x:v>Not Applied</x:v>
      </x:c>
      <x:c r="N32" s="13" t="str">
        <x:f>IF('All Direct Jobs'!N50="","",'All Direct Jobs'!N50)</x:f>
      </x:c>
      <x:c r="O32" s="13" t="str">
        <x:f>IF('All Direct Jobs'!O50="","",'All Direct Jobs'!O50)</x:f>
      </x:c>
    </x:row>
    <x:row r="33">
      <x:c r="A33" s="13" t="inlineStr">
        <x:is>
          <x:t xml:space="preserve">🔥 Apply First</x:t>
        </x:is>
      </x:c>
      <x:c r="B33" s="13" t="inlineStr">
        <x:is>
          <x:t xml:space="preserve">DoorDash</x:t>
        </x:is>
      </x:c>
      <x:c r="C33" s="13" t="inlineStr">
        <x:is>
          <x:t xml:space="preserve">Detection Engineer - Protective Services</x:t>
        </x:is>
      </x:c>
      <x:c r="D33" s="13" t="inlineStr">
        <x:is>
          <x:t xml:space="preserve">Detection Engineering / Threat Hunting</x:t>
        </x:is>
      </x:c>
      <x:c r="E33" s="13" t="inlineStr">
        <x:is>
          <x:t xml:space="preserve">Remote US</x:t>
        </x:is>
      </x:c>
      <x:c r="F33" s="13" t="inlineStr">
        <x:is>
          <x:t xml:space="preserve">3+ years</x:t>
        </x:is>
      </x:c>
      <x:c r="G33" s="13" t="inlineStr">
        <x:is>
          <x:t xml:space="preserve">Strong sponsor-profile employer; exact-role confirmation recommended</x:t>
        </x:is>
      </x:c>
      <x:c r="H33" s="13" t="inlineStr">
        <x:is>
          <x:t xml:space="preserve">Excellent</x:t>
        </x:is>
      </x:c>
      <x:c r="I33" s="13" t="inlineStr">
        <x:is>
          <x:t xml:space="preserve">$130.6K–$192K</x:t>
        </x:is>
      </x:c>
      <x:c r="J33" s="72" t="inlineStr">
        <x:is>
          <x:t xml:space="preserve">Apply →</x:t>
        </x:is>
      </x:c>
      <x:c r="K33" s="72" t="inlineStr">
        <x:is>
          <x:t xml:space="preserve">https://job-boards.greenhouse.io/doordashusa/jobs/8237701-2</x:t>
        </x:is>
      </x:c>
      <x:c r="L33" s="13" t="inlineStr">
        <x:is>
          <x:t xml:space="preserve">2026-10-26</x:t>
        </x:is>
      </x:c>
      <x:c r="M33" s="13" t="str">
        <x:f>'All Direct Jobs'!M52</x:f>
        <x:v>Not Applied</x:v>
      </x:c>
      <x:c r="N33" s="13" t="str">
        <x:f>IF('All Direct Jobs'!N52="","",'All Direct Jobs'!N52)</x:f>
      </x:c>
      <x:c r="O33" s="13" t="str">
        <x:f>IF('All Direct Jobs'!O52="","",'All Direct Jobs'!O52)</x:f>
      </x:c>
    </x:row>
    <x:row r="34">
      <x:c r="A34" s="13" t="inlineStr">
        <x:is>
          <x:t xml:space="preserve">⭐ Strong Fit</x:t>
        </x:is>
      </x:c>
      <x:c r="B34" s="13" t="inlineStr">
        <x:is>
          <x:t xml:space="preserve">Goldman Sachs</x:t>
        </x:is>
      </x:c>
      <x:c r="C34" s="13" t="inlineStr">
        <x:is>
          <x:t xml:space="preserve">Model Risk Management, AI Risk, Analyst/Associate</x:t>
        </x:is>
      </x:c>
      <x:c r="D34" s="13" t="inlineStr">
        <x:is>
          <x:t xml:space="preserve">AI Risk / GRC</x:t>
        </x:is>
      </x:c>
      <x:c r="E34" s="13" t="inlineStr">
        <x:is>
          <x:t xml:space="preserve">Dallas, TX</x:t>
        </x:is>
      </x:c>
      <x:c r="F34" s="13" t="inlineStr">
        <x:is>
          <x:t xml:space="preserve">3+ years</x:t>
        </x:is>
      </x:c>
      <x:c r="G34" s="13" t="inlineStr">
        <x:is>
          <x:t xml:space="preserve">Strong sponsor-profile employer; role-level confirmation required</x:t>
        </x:is>
      </x:c>
      <x:c r="H34" s="13" t="inlineStr">
        <x:is>
          <x:t xml:space="preserve">Strong</x:t>
        </x:is>
      </x:c>
      <x:c r="I34" s="13" t="inlineStr">
        <x:is>
          <x:t xml:space="preserve">Not listed</x:t>
        </x:is>
      </x:c>
      <x:c r="J34" s="72" t="inlineStr">
        <x:is>
          <x:t xml:space="preserve">Apply →</x:t>
        </x:is>
      </x:c>
      <x:c r="K34" s="72" t="inlineStr">
        <x:is>
          <x:t xml:space="preserve">https://higher.gs.com/roles/152314</x:t>
        </x:is>
      </x:c>
      <x:c r="L34" s="13" t="inlineStr">
        <x:is>
          <x:t xml:space="preserve">2026-10-26</x:t>
        </x:is>
      </x:c>
      <x:c r="M34" s="13" t="str">
        <x:f>'All Direct Jobs'!M53</x:f>
        <x:v>Not Applied</x:v>
      </x:c>
      <x:c r="N34" s="13" t="str">
        <x:f>IF('All Direct Jobs'!N53="","",'All Direct Jobs'!N53)</x:f>
      </x:c>
      <x:c r="O34" s="13" t="str">
        <x:f>IF('All Direct Jobs'!O53="","",'All Direct Jobs'!O53)</x:f>
      </x:c>
    </x:row>
    <x:row r="35">
      <x:c r="A35" s="13" t="inlineStr">
        <x:is>
          <x:t xml:space="preserve">⭐ Strong Fit</x:t>
        </x:is>
      </x:c>
      <x:c r="B35" s="13" t="inlineStr">
        <x:is>
          <x:t xml:space="preserve">Tenable</x:t>
        </x:is>
      </x:c>
      <x:c r="C35" s="13" t="inlineStr">
        <x:is>
          <x:t xml:space="preserve">Associate Services Architect</x:t>
        </x:is>
      </x:c>
      <x:c r="D35" s="13" t="inlineStr">
        <x:is>
          <x:t xml:space="preserve">Security Services / Vulnerability Mgmt</x:t>
        </x:is>
      </x:c>
      <x:c r="E35" s="13" t="inlineStr">
        <x:is>
          <x:t xml:space="preserve">Boston, MA / Columbia, MD</x:t>
        </x:is>
      </x:c>
      <x:c r="F35" s="13" t="inlineStr">
        <x:is>
          <x:t xml:space="preserve">1–3 years</x:t>
        </x:is>
      </x:c>
      <x:c r="G35" s="13" t="inlineStr">
        <x:is>
          <x:t xml:space="preserve">Application explicitly asks future sponsorship status; not an automatic rejection</x:t>
        </x:is>
      </x:c>
      <x:c r="H35" s="13" t="inlineStr">
        <x:is>
          <x:t xml:space="preserve">Strong</x:t>
        </x:is>
      </x:c>
      <x:c r="I35" s="13" t="inlineStr">
        <x:is>
          <x:t xml:space="preserve">$65K–$87K</x:t>
        </x:is>
      </x:c>
      <x:c r="J35" s="72" t="inlineStr">
        <x:is>
          <x:t xml:space="preserve">Apply →</x:t>
        </x:is>
      </x:c>
      <x:c r="K35" s="72" t="inlineStr">
        <x:is>
          <x:t xml:space="preserve">https://job-boards.greenhouse.io/tenableinc/jobs/5418662008</x:t>
        </x:is>
      </x:c>
      <x:c r="L35" s="13" t="inlineStr">
        <x:is>
          <x:t xml:space="preserve">2026-10-26</x:t>
        </x:is>
      </x:c>
      <x:c r="M35" s="13" t="str">
        <x:f>'All Direct Jobs'!M54</x:f>
        <x:v>Not Applied</x:v>
      </x:c>
      <x:c r="N35" s="13" t="str">
        <x:f>IF('All Direct Jobs'!N54="","",'All Direct Jobs'!N54)</x:f>
      </x:c>
      <x:c r="O35" s="13" t="str">
        <x:f>IF('All Direct Jobs'!O54="","",'All Direct Jobs'!O54)</x:f>
      </x:c>
    </x:row>
    <x:row r="36">
      <x:c r="A36" s="13" t="inlineStr">
        <x:is>
          <x:t xml:space="preserve">🔥 Apply First</x:t>
        </x:is>
      </x:c>
      <x:c r="B36" s="13" t="inlineStr">
        <x:is>
          <x:t xml:space="preserve">The Home Depot</x:t>
        </x:is>
      </x:c>
      <x:c r="C36" s="13" t="inlineStr">
        <x:is>
          <x:t xml:space="preserve">Cybersecurity Engineer II | SIEM and EDR</x:t>
        </x:is>
      </x:c>
      <x:c r="D36" s="13" t="inlineStr">
        <x:is>
          <x:t xml:space="preserve">SIEM / EDR / Detection</x:t>
        </x:is>
      </x:c>
      <x:c r="E36" s="13" t="inlineStr">
        <x:is>
          <x:t xml:space="preserve">Atlanta, GA / Remote</x:t>
        </x:is>
      </x:c>
      <x:c r="F36" s="13" t="inlineStr">
        <x:is>
          <x:t xml:space="preserve">2+ years</x:t>
        </x:is>
      </x:c>
      <x:c r="G36" s="13" t="inlineStr">
        <x:is>
          <x:t xml:space="preserve">Employer has H-1B history; exact role says legally permitted to work, no explicit no-sponsor line surfaced</x:t>
        </x:is>
      </x:c>
      <x:c r="H36" s="13" t="inlineStr">
        <x:is>
          <x:t xml:space="preserve">Excellent</x:t>
        </x:is>
      </x:c>
      <x:c r="I36" s="13" t="inlineStr">
        <x:is>
          <x:t xml:space="preserve">$90K–$130K</x:t>
        </x:is>
      </x:c>
      <x:c r="J36" s="72" t="inlineStr">
        <x:is>
          <x:t xml:space="preserve">Apply →</x:t>
        </x:is>
      </x:c>
      <x:c r="K36" s="72" t="inlineStr">
        <x:is>
          <x:t xml:space="preserve">https://careers.homedepot.com/job/23715993/cybersecurity-engineer-ii-siem-and-edr-remote-remote/</x:t>
        </x:is>
      </x:c>
      <x:c r="L36" s="13" t="inlineStr">
        <x:is>
          <x:t xml:space="preserve">2026-10-26</x:t>
        </x:is>
      </x:c>
      <x:c r="M36" s="13" t="str">
        <x:f>'All Direct Jobs'!M55</x:f>
        <x:v>Not Applied</x:v>
      </x:c>
      <x:c r="N36" s="13" t="str">
        <x:f>IF('All Direct Jobs'!N55="","",'All Direct Jobs'!N55)</x:f>
      </x:c>
      <x:c r="O36" s="13" t="str">
        <x:f>IF('All Direct Jobs'!O55="","",'All Direct Jobs'!O55)</x:f>
      </x:c>
    </x:row>
  </x:sheetData>
  <x:conditionalFormatting sqref="M2:M100">
    <x:cfRule type="expression" dxfId="53" priority="1">
      <x:formula>M2="Not Applied"</x:formula>
    </x:cfRule>
    <x:cfRule type="expression" dxfId="54" priority="2">
      <x:formula>M2="Planning to Apply"</x:formula>
    </x:cfRule>
    <x:cfRule type="expression" dxfId="55" priority="3">
      <x:formula>M2="Applied"</x:formula>
    </x:cfRule>
    <x:cfRule type="expression" dxfId="56" priority="4">
      <x:formula>M2="Under Consideration"</x:formula>
    </x:cfRule>
    <x:cfRule type="expression" dxfId="57" priority="5">
      <x:formula>M2="OA / Assessment"</x:formula>
    </x:cfRule>
    <x:cfRule type="expression" dxfId="58" priority="6">
      <x:formula>M2="Recruiter Screen"</x:formula>
    </x:cfRule>
    <x:cfRule type="expression" dxfId="59" priority="7">
      <x:formula>M2="Interview"</x:formula>
    </x:cfRule>
    <x:cfRule type="expression" dxfId="60" priority="8">
      <x:formula>M2="Final Round"</x:formula>
    </x:cfRule>
    <x:cfRule type="expression" dxfId="61" priority="9">
      <x:formula>M2="Offer"</x:formula>
    </x:cfRule>
    <x:cfRule type="expression" dxfId="62" priority="10">
      <x:formula>M2="Rejected"</x:formula>
    </x:cfRule>
    <x:cfRule type="expression" dxfId="63" priority="11">
      <x:formula>M2="Withdrawn"</x:formula>
    </x:cfRule>
    <x:cfRule type="expression" dxfId="64" priority="12">
      <x:formula>M2="Not Going to Apply"</x:formula>
    </x:cfRule>
    <x:cfRule type="expression" dxfId="65" priority="13">
      <x:formula>M2="Closed / Expired"</x:formula>
    </x:cfRule>
  </x:conditionalFormatting>
  <x:hyperlinks>
    <x:hyperlink xmlns:r="http://schemas.openxmlformats.org/officeDocument/2006/relationships" ref="J2" r:id="R2b009a9d2b164280"/>
    <x:hyperlink xmlns:r="http://schemas.openxmlformats.org/officeDocument/2006/relationships" ref="K2" r:id="Re77b9bca2cb54afd"/>
    <x:hyperlink xmlns:r="http://schemas.openxmlformats.org/officeDocument/2006/relationships" ref="J3" r:id="Rbbfb59757e5a41ce"/>
    <x:hyperlink xmlns:r="http://schemas.openxmlformats.org/officeDocument/2006/relationships" ref="K3" r:id="R6971c18a7b214986"/>
    <x:hyperlink xmlns:r="http://schemas.openxmlformats.org/officeDocument/2006/relationships" ref="J4" r:id="Rd62ec6ac282a45b5"/>
    <x:hyperlink xmlns:r="http://schemas.openxmlformats.org/officeDocument/2006/relationships" ref="K4" r:id="R39a04e9184314c64"/>
    <x:hyperlink xmlns:r="http://schemas.openxmlformats.org/officeDocument/2006/relationships" ref="J5" r:id="R93ff55bd26bf409f"/>
    <x:hyperlink xmlns:r="http://schemas.openxmlformats.org/officeDocument/2006/relationships" ref="K5" r:id="R99f1c7d73a524361"/>
    <x:hyperlink xmlns:r="http://schemas.openxmlformats.org/officeDocument/2006/relationships" ref="J6" r:id="R01eca86c81a34abc"/>
    <x:hyperlink xmlns:r="http://schemas.openxmlformats.org/officeDocument/2006/relationships" ref="K6" r:id="R676d7f327f9a4a2d"/>
    <x:hyperlink xmlns:r="http://schemas.openxmlformats.org/officeDocument/2006/relationships" ref="J7" r:id="Rb4d7d30ca2b846d5"/>
    <x:hyperlink xmlns:r="http://schemas.openxmlformats.org/officeDocument/2006/relationships" ref="K7" r:id="R58442b42e637403e"/>
    <x:hyperlink xmlns:r="http://schemas.openxmlformats.org/officeDocument/2006/relationships" ref="J8" r:id="R05c5a7e39f9d40c5"/>
    <x:hyperlink xmlns:r="http://schemas.openxmlformats.org/officeDocument/2006/relationships" ref="K8" r:id="Rfcd6b4be464f44be"/>
    <x:hyperlink xmlns:r="http://schemas.openxmlformats.org/officeDocument/2006/relationships" ref="J9" r:id="R4c8fda15561b4883"/>
    <x:hyperlink xmlns:r="http://schemas.openxmlformats.org/officeDocument/2006/relationships" ref="K9" r:id="R6eac45a6a6454141"/>
    <x:hyperlink xmlns:r="http://schemas.openxmlformats.org/officeDocument/2006/relationships" ref="J10" r:id="Rdb53dbc69f1c4ec2"/>
    <x:hyperlink xmlns:r="http://schemas.openxmlformats.org/officeDocument/2006/relationships" ref="K10" r:id="Rf168ad3c089740f8"/>
    <x:hyperlink xmlns:r="http://schemas.openxmlformats.org/officeDocument/2006/relationships" ref="J11" r:id="R97a4b56ea7c4449f"/>
    <x:hyperlink xmlns:r="http://schemas.openxmlformats.org/officeDocument/2006/relationships" ref="K11" r:id="Rd46efc46f41047bc"/>
    <x:hyperlink xmlns:r="http://schemas.openxmlformats.org/officeDocument/2006/relationships" ref="J12" r:id="R304b3c4818f04e40"/>
    <x:hyperlink xmlns:r="http://schemas.openxmlformats.org/officeDocument/2006/relationships" ref="K12" r:id="R3c5dcbfbca694b84"/>
    <x:hyperlink xmlns:r="http://schemas.openxmlformats.org/officeDocument/2006/relationships" ref="J13" r:id="R2d5fbcbae2f24328"/>
    <x:hyperlink xmlns:r="http://schemas.openxmlformats.org/officeDocument/2006/relationships" ref="K13" r:id="Rc7f3bfa85a634545"/>
    <x:hyperlink xmlns:r="http://schemas.openxmlformats.org/officeDocument/2006/relationships" ref="J14" r:id="R4ce05b258c6c47c0"/>
    <x:hyperlink xmlns:r="http://schemas.openxmlformats.org/officeDocument/2006/relationships" ref="K14" r:id="R6c9ab74fa54e4d9c"/>
    <x:hyperlink xmlns:r="http://schemas.openxmlformats.org/officeDocument/2006/relationships" ref="J15" r:id="R0a1ff8a416674aae"/>
    <x:hyperlink xmlns:r="http://schemas.openxmlformats.org/officeDocument/2006/relationships" ref="K15" r:id="Rf18b6ced484d4dc3"/>
    <x:hyperlink xmlns:r="http://schemas.openxmlformats.org/officeDocument/2006/relationships" ref="J16" r:id="R1ba5baaef26c4b5e"/>
    <x:hyperlink xmlns:r="http://schemas.openxmlformats.org/officeDocument/2006/relationships" ref="K16" r:id="Rfd58f318ed5944c8"/>
    <x:hyperlink xmlns:r="http://schemas.openxmlformats.org/officeDocument/2006/relationships" ref="J17" r:id="R98e069b1361048c7"/>
    <x:hyperlink xmlns:r="http://schemas.openxmlformats.org/officeDocument/2006/relationships" ref="K17" r:id="Red71a9b5fe4c4c27"/>
    <x:hyperlink xmlns:r="http://schemas.openxmlformats.org/officeDocument/2006/relationships" ref="J18" r:id="R49eb0f89e7e24959"/>
    <x:hyperlink xmlns:r="http://schemas.openxmlformats.org/officeDocument/2006/relationships" ref="K18" r:id="Rd669b173c16e4d16"/>
    <x:hyperlink xmlns:r="http://schemas.openxmlformats.org/officeDocument/2006/relationships" ref="J19" r:id="Rd81958b0e31e4306"/>
    <x:hyperlink xmlns:r="http://schemas.openxmlformats.org/officeDocument/2006/relationships" ref="K19" r:id="R7b469128c233495c"/>
    <x:hyperlink xmlns:r="http://schemas.openxmlformats.org/officeDocument/2006/relationships" ref="J20" r:id="Rbd408f89d0164535"/>
    <x:hyperlink xmlns:r="http://schemas.openxmlformats.org/officeDocument/2006/relationships" ref="K20" r:id="R069334cb54b5492d"/>
    <x:hyperlink xmlns:r="http://schemas.openxmlformats.org/officeDocument/2006/relationships" ref="J21" r:id="Re0bc83c002b34bda"/>
    <x:hyperlink xmlns:r="http://schemas.openxmlformats.org/officeDocument/2006/relationships" ref="K21" r:id="Rff6c619329a54680"/>
    <x:hyperlink xmlns:r="http://schemas.openxmlformats.org/officeDocument/2006/relationships" ref="J22" r:id="R475ea79ff5914bf1"/>
    <x:hyperlink xmlns:r="http://schemas.openxmlformats.org/officeDocument/2006/relationships" ref="K22" r:id="Re926cedd4ed849e0"/>
    <x:hyperlink xmlns:r="http://schemas.openxmlformats.org/officeDocument/2006/relationships" ref="J23" r:id="R7d87c542cab64a70"/>
    <x:hyperlink xmlns:r="http://schemas.openxmlformats.org/officeDocument/2006/relationships" ref="K23" r:id="Rf981e1d14ac14bec"/>
    <x:hyperlink xmlns:r="http://schemas.openxmlformats.org/officeDocument/2006/relationships" ref="J24" r:id="R4e20822b95fb4828"/>
    <x:hyperlink xmlns:r="http://schemas.openxmlformats.org/officeDocument/2006/relationships" ref="K24" r:id="Rbf2a11debf8f4c73"/>
    <x:hyperlink xmlns:r="http://schemas.openxmlformats.org/officeDocument/2006/relationships" ref="J25" r:id="Rf7e956111206484e"/>
    <x:hyperlink xmlns:r="http://schemas.openxmlformats.org/officeDocument/2006/relationships" ref="K25" r:id="Rfeb867ac71c2448f"/>
    <x:hyperlink xmlns:r="http://schemas.openxmlformats.org/officeDocument/2006/relationships" ref="J26" r:id="R5be796192a794c24"/>
    <x:hyperlink xmlns:r="http://schemas.openxmlformats.org/officeDocument/2006/relationships" ref="K26" r:id="R8f78fda8756542d4"/>
    <x:hyperlink xmlns:r="http://schemas.openxmlformats.org/officeDocument/2006/relationships" ref="J27" r:id="R8755e729230b4859"/>
    <x:hyperlink xmlns:r="http://schemas.openxmlformats.org/officeDocument/2006/relationships" ref="K27" r:id="R6cb3beebed0c4bdd"/>
    <x:hyperlink xmlns:r="http://schemas.openxmlformats.org/officeDocument/2006/relationships" ref="J28" r:id="R7bc23b78b4054f77"/>
    <x:hyperlink xmlns:r="http://schemas.openxmlformats.org/officeDocument/2006/relationships" ref="K28" r:id="R83dc1273cd0b4f22"/>
    <x:hyperlink xmlns:r="http://schemas.openxmlformats.org/officeDocument/2006/relationships" ref="J29" r:id="R1e3a10db10be4f89"/>
    <x:hyperlink xmlns:r="http://schemas.openxmlformats.org/officeDocument/2006/relationships" ref="K29" r:id="Rdb9da7e1388e4b3f"/>
    <x:hyperlink xmlns:r="http://schemas.openxmlformats.org/officeDocument/2006/relationships" ref="J30" r:id="R1d78b4f9595a4b37"/>
    <x:hyperlink xmlns:r="http://schemas.openxmlformats.org/officeDocument/2006/relationships" ref="K30" r:id="R67c5cc12ea274082"/>
    <x:hyperlink xmlns:r="http://schemas.openxmlformats.org/officeDocument/2006/relationships" ref="J31" r:id="R35dade7b4e5c4ea8"/>
    <x:hyperlink xmlns:r="http://schemas.openxmlformats.org/officeDocument/2006/relationships" ref="K31" r:id="R742082f421514d29"/>
    <x:hyperlink xmlns:r="http://schemas.openxmlformats.org/officeDocument/2006/relationships" ref="J32" r:id="R84e2274091ec40e2"/>
    <x:hyperlink xmlns:r="http://schemas.openxmlformats.org/officeDocument/2006/relationships" ref="K32" r:id="Rdb3076c98f7e408a"/>
    <x:hyperlink xmlns:r="http://schemas.openxmlformats.org/officeDocument/2006/relationships" ref="J33" r:id="R32626db9beff4447"/>
    <x:hyperlink xmlns:r="http://schemas.openxmlformats.org/officeDocument/2006/relationships" ref="K33" r:id="Ra7a49fd0cb0d4cc3"/>
    <x:hyperlink xmlns:r="http://schemas.openxmlformats.org/officeDocument/2006/relationships" ref="J34" r:id="Re8f4ab5785834500"/>
    <x:hyperlink xmlns:r="http://schemas.openxmlformats.org/officeDocument/2006/relationships" ref="K34" r:id="R6f3e8673fd79490b"/>
    <x:hyperlink xmlns:r="http://schemas.openxmlformats.org/officeDocument/2006/relationships" ref="J35" r:id="R02519619ebb14372"/>
    <x:hyperlink xmlns:r="http://schemas.openxmlformats.org/officeDocument/2006/relationships" ref="K35" r:id="R9f2fa0b01ff448b7"/>
    <x:hyperlink xmlns:r="http://schemas.openxmlformats.org/officeDocument/2006/relationships" ref="J36" r:id="R2f06a51c57bb473a"/>
    <x:hyperlink xmlns:r="http://schemas.openxmlformats.org/officeDocument/2006/relationships" ref="K36" r:id="Ra1c9ac5449434592"/>
  </x:hyperlinks>
  <x:pageMargins left="0.7" right="0.7" top="0.75" bottom="0.75" header="0.3" footer="0.3"/>
  <x:tableParts count="1">
    <x:tablePart xmlns:r="http://schemas.openxmlformats.org/officeDocument/2006/relationships" r:id="R07b3dc5cd2f2420e"/>
  </x:tableParts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42" customWidth="1"/>
    <x:col min="2" max="2" width="85" customWidth="1"/>
  </x:cols>
  <x:sheetData>
    <x:row r="1">
      <x:c r="A1" s="38" t="inlineStr">
        <x:is>
          <x:t xml:space="preserve">Removed item</x:t>
        </x:is>
      </x:c>
      <x:c r="B1" s="38" t="inlineStr">
        <x:is>
          <x:t xml:space="preserve">Reason</x:t>
        </x:is>
      </x:c>
    </x:row>
    <x:row r="2">
      <x:c r="A2" s="12" t="inlineStr">
        <x:is>
          <x:t xml:space="preserve">Together AI old EarlyTechRoles link</x:t>
        </x:is>
      </x:c>
      <x:c r="B2" s="12" t="inlineStr">
        <x:is>
          <x:t xml:space="preserve">Dead/aggregator URL; replaced with exact Together AI Greenhouse requisition.</x:t>
        </x:is>
      </x:c>
    </x:row>
    <x:row r="3">
      <x:c r="A3" s="12" t="inlineStr">
        <x:is>
          <x:t xml:space="preserve">Google Search URLs</x:t>
        </x:is>
      </x:c>
      <x:c r="B3" s="12" t="inlineStr">
        <x:is>
          <x:t xml:space="preserve">Removed. A search page is not an application page.</x:t>
        </x:is>
      </x:c>
    </x:row>
    <x:row r="4">
      <x:c r="A4" s="12" t="inlineStr">
        <x:is>
          <x:t xml:space="preserve">Aggregator URLs in Apply column</x:t>
        </x:is>
      </x:c>
      <x:c r="B4" s="12" t="inlineStr">
        <x:is>
          <x:t xml:space="preserve">Removed. Simplify, H1BConnect, Indeed, ZipRecruiter, etc. are not used as Apply links.</x:t>
        </x:is>
      </x:c>
    </x:row>
    <x:row r="5">
      <x:c r="A5" s="12" t="inlineStr">
        <x:is>
          <x:t xml:space="preserve">FSAStore Application Security Analyst</x:t>
        </x:is>
      </x:c>
      <x:c r="B5" s="12" t="inlineStr">
        <x:is>
          <x:t xml:space="preserve">Exact employer requisition now redirects to generic openings page, so treated as closed.</x:t>
        </x:is>
      </x:c>
    </x:row>
    <x:row r="6">
      <x:c r="A6" s="12" t="inlineStr">
        <x:is>
          <x:t xml:space="preserve">Trail of Bits Security Engineer I</x:t>
        </x:is>
      </x:c>
      <x:c r="B6" s="12" t="inlineStr">
        <x:is>
          <x:t xml:space="preserve">Exact application page says visa sponsorship is not available.</x:t>
        </x:is>
      </x:c>
    </x:row>
    <x:row r="7">
      <x:c r="A7" s="12" t="inlineStr">
        <x:is>
          <x:t xml:space="preserve">Kyndryl early-career cyber roles</x:t>
        </x:is>
      </x:c>
      <x:c r="B7" s="12" t="inlineStr">
        <x:is>
          <x:t xml:space="preserve">Exact postings state no current/future sponsorship.</x:t>
        </x:is>
      </x:c>
    </x:row>
    <x:row r="8">
      <x:c r="A8" s="12" t="inlineStr">
        <x:is>
          <x:t xml:space="preserve">CoStar Summer 2027 Security Intern</x:t>
        </x:is>
      </x:c>
      <x:c r="B8" s="12" t="inlineStr">
        <x:is>
          <x:t xml:space="preserve">Wrong graduation window plus no visa sponsorship.</x:t>
        </x:is>
      </x:c>
    </x:row>
    <x:row r="9">
      <x:c r="A9" s="12" t="inlineStr">
        <x:is>
          <x:t xml:space="preserve">Curana GRC Security Analyst</x:t>
        </x:is>
      </x:c>
      <x:c r="B9" s="12" t="inlineStr">
        <x:is>
          <x:t xml:space="preserve">Explicitly unable to provide visa sponsorship.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4" hidden="0" customWidth="1"/>
    <x:col min="2" max="2" width="100" hidden="0" customWidth="1"/>
  </x:cols>
  <x:sheetData>
    <x:row r="1">
      <x:c r="A1" s="4" t="inlineStr">
        <x:is>
          <x:t xml:space="preserve">Rule</x:t>
        </x:is>
      </x:c>
      <x:c r="B1" s="4" t="inlineStr">
        <x:is>
          <x:t xml:space="preserve">Meaning</x:t>
        </x:is>
      </x:c>
    </x:row>
    <x:row r="2">
      <x:c r="A2" s="12" t="inlineStr">
        <x:is>
          <x:t xml:space="preserve">Apply links</x:t>
        </x:is>
      </x:c>
      <x:c r="B2" s="12" t="inlineStr">
        <x:is>
          <x:t xml:space="preserve">Every main Apply → link points to the exact employer-hosted requisition page, not a Google search or aggregator.</x:t>
        </x:is>
      </x:c>
    </x:row>
    <x:row r="3">
      <x:c r="A3" s="12" t="inlineStr">
        <x:is>
          <x:t xml:space="preserve">Current check</x:t>
        </x:is>
      </x:c>
      <x:c r="B3" s="12" t="inlineStr">
        <x:is>
          <x:t xml:space="preserve">Exact employer requisition was live when audited on October 26, 2026. Postings can still close later.</x:t>
        </x:is>
      </x:c>
    </x:row>
    <x:row r="4">
      <x:c r="A4" s="12" t="inlineStr">
        <x:is>
          <x:t xml:space="preserve">H-1B / visa</x:t>
        </x:is>
      </x:c>
      <x:c r="B4" s="12" t="inlineStr">
        <x:is>
          <x:t xml:space="preserve">Employer H-1B history is not a promise for a specific role. Explicit no-sponsorship / citizenship / U.S.-person / clearance blockers were removed.</x:t>
        </x:is>
      </x:c>
    </x:row>
    <x:row r="5">
      <x:c r="A5" s="12" t="inlineStr">
        <x:is>
          <x:t xml:space="preserve">Resume targeting</x:t>
        </x:is>
      </x:c>
      <x:c r="B5" s="12" t="inlineStr">
        <x:is>
          <x:t xml:space="preserve">Includes both new-grad and 2–4 year industry roles because Aarushi already has several years of IBM security experience.</x:t>
        </x:is>
      </x:c>
    </x:row>
    <x:row r="6">
      <x:c r="A6" s="12" t="inlineStr">
        <x:is>
          <x:t xml:space="preserve">Columns J/K</x:t>
        </x:is>
      </x:c>
      <x:c r="B6" s="12" t="inlineStr">
        <x:is>
          <x:t xml:space="preserve">J is a short Apply → button-style link; K shows the exact employer URL and is also clickable.</x:t>
        </x:is>
      </x:c>
    </x:row>
    <x:row r="8">
      <x:c r="A8" s="113" t="str">
        <x:v>Status options</x:v>
      </x:c>
      <x:c r="B8" s="113" t="str">
        <x:v>Meaning</x:v>
      </x:c>
    </x:row>
    <x:row r="9">
      <x:c r="A9" s="79" t="str">
        <x:v>Not Applied</x:v>
      </x:c>
      <x:c r="B9" s="79" t="str">
        <x:v>Default state. No application submitted yet.</x:v>
      </x:c>
    </x:row>
    <x:row r="10">
      <x:c r="A10" s="79" t="str">
        <x:v>Planning to Apply</x:v>
      </x:c>
      <x:c r="B10" s="79" t="str">
        <x:v>Worth applying to, but not submitted yet.</x:v>
      </x:c>
    </x:row>
    <x:row r="11">
      <x:c r="A11" s="79" t="str">
        <x:v>Applied</x:v>
      </x:c>
      <x:c r="B11" s="79" t="str">
        <x:v>Application submitted.</x:v>
      </x:c>
    </x:row>
    <x:row r="12">
      <x:c r="A12" s="79" t="str">
        <x:v>Under Consideration</x:v>
      </x:c>
      <x:c r="B12" s="79" t="str">
        <x:v>Application is active / being reviewed.</x:v>
      </x:c>
    </x:row>
    <x:row r="13">
      <x:c r="A13" s="79" t="str">
        <x:v>OA / Assessment</x:v>
      </x:c>
      <x:c r="B13" s="79" t="str">
        <x:v>Online assessment, take-home, coding test, or similar.</x:v>
      </x:c>
    </x:row>
    <x:row r="14">
      <x:c r="A14" s="79" t="str">
        <x:v>Recruiter Screen</x:v>
      </x:c>
      <x:c r="B14" s="79" t="str">
        <x:v>Recruiter or HR screening stage.</x:v>
      </x:c>
    </x:row>
    <x:row r="15">
      <x:c r="A15" s="79" t="str">
        <x:v>Interview</x:v>
      </x:c>
      <x:c r="B15" s="79" t="str">
        <x:v>Interview process has started.</x:v>
      </x:c>
    </x:row>
    <x:row r="16">
      <x:c r="A16" s="79" t="str">
        <x:v>Final Round</x:v>
      </x:c>
      <x:c r="B16" s="79" t="str">
        <x:v>Reached the final interview stage.</x:v>
      </x:c>
    </x:row>
    <x:row r="17">
      <x:c r="A17" s="79" t="str">
        <x:v>Offer</x:v>
      </x:c>
      <x:c r="B17" s="79" t="str">
        <x:v>Received an offer.</x:v>
      </x:c>
    </x:row>
    <x:row r="18">
      <x:c r="A18" s="79" t="str">
        <x:v>Rejected</x:v>
      </x:c>
      <x:c r="B18" s="79" t="str">
        <x:v>Application was rejected.</x:v>
      </x:c>
    </x:row>
    <x:row r="19">
      <x:c r="A19" s="79" t="str">
        <x:v>Withdrawn</x:v>
      </x:c>
      <x:c r="B19" s="79" t="str">
        <x:v>She chose to withdraw after applying.</x:v>
      </x:c>
    </x:row>
    <x:row r="20">
      <x:c r="A20" s="79" t="str">
        <x:v>Not Going to Apply</x:v>
      </x:c>
      <x:c r="B20" s="79" t="str">
        <x:v>Reviewed the role and decided not to apply.</x:v>
      </x:c>
    </x:row>
    <x:row r="21">
      <x:c r="A21" s="79" t="str">
        <x:v>Closed / Expired</x:v>
      </x:c>
      <x:c r="B21" s="79" t="str">
        <x:v>Posting closed before applying or is no longer active.</x:v>
      </x:c>
    </x:row>
    <x:row r="23">
      <x:c r="A23" s="119" t="str">
        <x:v>Single source of truth</x:v>
      </x:c>
      <x:c r="B23" s="119" t="str">
        <x:v>All Direct Jobs is the only sheet where Status, Date Applied, and Notes should be edited.</x:v>
      </x:c>
    </x:row>
    <x:row r="24">
      <x:c r="A24" s="79" t="str">
        <x:v>Apply First</x:v>
      </x:c>
      <x:c r="B24" s="79" t="str">
        <x:v>Priority view. Status / Date Applied / Notes are formulas linked to All Direct Jobs.</x:v>
      </x:c>
    </x:row>
    <x:row r="25">
      <x:c r="A25" s="79" t="str">
        <x:v>Best Resume Matches</x:v>
      </x:c>
      <x:c r="B25" s="79" t="str">
        <x:v>Resume-fit view. Status / Date Applied / Notes are formulas linked to All Direct Jobs.</x:v>
      </x:c>
    </x:row>
    <x:row r="26">
      <x:c r="A26" s="79" t="str">
        <x:v>Duplicate jobs</x:v>
      </x:c>
      <x:c r="B26" s="79" t="str">
        <x:v>A job can appear in multiple views, but its application state exists only once in All Direct Jobs.</x:v>
      </x:c>
    </x:row>
    <x:row r="27">
      <x:c r="A27" s="79" t="str">
        <x:v>How to update</x:v>
      </x:c>
      <x:c r="B27" s="79" t="str">
        <x:v>Change the dropdown/status in All Direct Jobs. The linked views update automatically when Excel recalculates.</x:v>
      </x:c>
    </x:row>
  </x:sheetData>
  <x:pageMargins left="0.7" right="0.7" top="0.75" bottom="0.75" header="0.3" footer="0.3"/>
</x:worksheet>
</file>