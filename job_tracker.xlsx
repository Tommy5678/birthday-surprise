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9a03b028345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fac70d78e3c4b00"/>
    <x:sheet xmlns:r="http://schemas.openxmlformats.org/officeDocument/2006/relationships" name="Apply First" sheetId="2" r:id="R0c37b8b3057c450a"/>
    <x:sheet xmlns:r="http://schemas.openxmlformats.org/officeDocument/2006/relationships" name="All Live Jobs" sheetId="3" r:id="Ra8e6008c7e664653"/>
    <x:sheet xmlns:r="http://schemas.openxmlformats.org/officeDocument/2006/relationships" name="Removed After Audit" sheetId="4" r:id="R419ad238ccf7473c"/>
    <x:sheet xmlns:r="http://schemas.openxmlformats.org/officeDocument/2006/relationships" name="Audit Notes" sheetId="5" r:id="R98dc369ba47e479d"/>
    <x:sheet xmlns:r="http://schemas.openxmlformats.org/officeDocument/2006/relationships" name="Watchlist" sheetId="6" r:id="Rfcf89a766d6249bd"/>
    <x:sheet xmlns:r="http://schemas.openxmlformats.org/officeDocument/2006/relationships" name="Resume-Matched Roles" sheetId="7" r:id="R613878925ed4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i/>
      <x:sz val="11"/>
      <x:color rgb="FF4C1D95"/>
      <x:name val="Carlito"/>
    </x:font>
    <x:font>
      <x:b/>
      <x:sz val="20"/>
      <x:name val="Carlito"/>
    </x:font>
    <x:font>
      <x:b/>
      <x:sz val="11"/>
      <x:name val="Carlito"/>
    </x:font>
    <x:font>
      <x:b/>
      <x:sz val="11"/>
      <x:color rgb="FF1D4ED8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6D28D9"/>
      </x:patternFill>
    </x:fill>
    <x:fill>
      <x:patternFill patternType="solid">
        <x:fgColor rgb="FF991B1B"/>
      </x:patternFill>
    </x:fill>
    <x:fill>
      <x:patternFill patternType="solid">
        <x:fgColor rgb="FFEDE9FE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AFAFF"/>
      </x:patternFill>
    </x:fill>
    <x:fill>
      <x:patternFill patternType="solid">
        <x:fgColor rgb="FFE5E7EB"/>
      </x:patternFill>
    </x:fill>
    <x:fill>
      <x:patternFill patternType="solid">
        <x:fgColor rgb="FF6D28D9"/>
      </x:patternFill>
    </x:fill>
    <x:fill>
      <x:patternFill patternType="solid">
        <x:fgColor rgb="FFDBEAFE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4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9D174D"/>
      </x:font>
      <x:fill>
        <x:patternFill>
          <x:bgColor rgb="FFFCE7F3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</x:font>
      <x:fill>
        <x:patternFill>
          <x:bgColor rgb="FFEDE9FE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D174D"/>
      </x:font>
      <x:fill>
        <x:patternFill patternType="solid">
          <x:bgColor rgb="FFFCE7F3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e9c6225384196" /><Relationship Type="http://schemas.openxmlformats.org/officeDocument/2006/relationships/theme" Target="/xl/theme/theme1.xml" Id="R308e3c3f83334362" /><Relationship Type="http://schemas.openxmlformats.org/officeDocument/2006/relationships/sharedStrings" Target="/xl/sharedStrings.xml" Id="R590be1cc5b484552" /><Relationship Type="http://schemas.openxmlformats.org/officeDocument/2006/relationships/worksheet" Target="/xl/worksheets/sheet1.xml" Id="R0fac70d78e3c4b00" /><Relationship Type="http://schemas.openxmlformats.org/officeDocument/2006/relationships/worksheet" Target="/xl/worksheets/sheet2.xml" Id="R0c37b8b3057c450a" /><Relationship Type="http://schemas.openxmlformats.org/officeDocument/2006/relationships/worksheet" Target="/xl/worksheets/sheet3.xml" Id="Ra8e6008c7e664653" /><Relationship Type="http://schemas.openxmlformats.org/officeDocument/2006/relationships/worksheet" Target="/xl/worksheets/sheet4.xml" Id="R419ad238ccf7473c" /><Relationship Type="http://schemas.openxmlformats.org/officeDocument/2006/relationships/worksheet" Target="/xl/worksheets/sheet5.xml" Id="R98dc369ba47e479d" /><Relationship Type="http://schemas.openxmlformats.org/officeDocument/2006/relationships/worksheet" Target="/xl/worksheets/sheet6.xml" Id="Rfcf89a766d6249bd" /><Relationship Type="http://schemas.openxmlformats.org/officeDocument/2006/relationships/worksheet" Target="/xl/worksheets/sheet7.xml" Id="R613878925ed44f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99320bc2ea450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Application Pipeline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'Start Here'!$L$3:$L$8</c:f>
              <c:strCache>
                <c:ptCount val="0"/>
              </c:strCache>
            </c:strRef>
          </c:cat>
          <c:val>
            <c:numRef>
              <c:f>'Start Here'!$M$3:$M$8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18</xdr:row>
      <xdr:rowOff>0</xdr:rowOff>
    </xdr:from>
    <xdr:to>
      <xdr:col>10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99320bc2ea450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pplyFirstAuditTable" displayName="ApplyFirstAuditTable" ref="A1:P33" headerRowCount="1" totalsRowCount="0" totalsRowShown="0">
  <x:tableColumns count="16">
    <x:tableColumn id="1" name="Priority"/>
    <x:tableColumn id="2" name="Company"/>
    <x:tableColumn id="3" name="Role"/>
    <x:tableColumn id="4" name="Track"/>
    <x:tableColumn id="5" name="Location"/>
    <x:tableColumn id="6" name="Role Type"/>
    <x:tableColumn id="7" name="May 2027 Timing"/>
    <x:tableColumn id="8" name="Visa / Work Authorization"/>
    <x:tableColumn id="9" name="Eligibility Check"/>
    <x:tableColumn id="10" name="Compensation"/>
    <x:tableColumn id="11" name="Live Audit Source"/>
    <x:tableColumn id="12" name="Find / Apply"/>
    <x:tableColumn id="13" name="Verified On"/>
    <x:tableColumn id="14" name="Status"/>
    <x:tableColumn id="15" name="Date Applied"/>
    <x:tableColumn id="1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LiveJobsTable" displayName="LiveJobsTable" ref="A1:P82" headerRowCount="1" totalsRowCount="0" totalsRowShown="0">
  <x:tableColumns count="16">
    <x:tableColumn id="1" name="Priority"/>
    <x:tableColumn id="2" name="Company"/>
    <x:tableColumn id="3" name="Role"/>
    <x:tableColumn id="4" name="Track"/>
    <x:tableColumn id="5" name="Location"/>
    <x:tableColumn id="6" name="Role Type"/>
    <x:tableColumn id="7" name="May 2027 Timing"/>
    <x:tableColumn id="8" name="Visa / Work Authorization"/>
    <x:tableColumn id="9" name="Eligibility Check"/>
    <x:tableColumn id="10" name="Compensation"/>
    <x:tableColumn id="11" name="Live Audit Source"/>
    <x:tableColumn id="12" name="Find / Apply"/>
    <x:tableColumn id="13" name="Verified On"/>
    <x:tableColumn id="14" name="Status"/>
    <x:tableColumn id="15" name="Date Applied"/>
    <x:tableColumn id="16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movedAuditTable" displayName="RemovedAuditTable" ref="A1:D29" headerRowCount="1" totalsRowCount="0" totalsRowShown="0">
  <x:tableColumns count="4">
    <x:tableColumn id="1" name="Company"/>
    <x:tableColumn id="2" name="Role"/>
    <x:tableColumn id="3" name="Why Removed"/>
    <x:tableColumn id="4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WatchAuditTable" displayName="WatchAuditTable" ref="A1:C9" headerRowCount="1" totalsRowCount="0" totalsRowShown="0">
  <x:tableColumns count="3">
    <x:tableColumn id="1" name="Company"/>
    <x:tableColumn id="2" name="Watch For"/>
    <x:tableColumn id="3" name="Why Not Main List Ye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meMatchedTable" displayName="ResumeMatchedTable" ref="A1:P17" headerRowCount="1" totalsRowCount="0" totalsRowShown="0">
  <x:tableColumns count="16">
    <x:tableColumn id="1" name="Priority"/>
    <x:tableColumn id="2" name="Company"/>
    <x:tableColumn id="3" name="Role"/>
    <x:tableColumn id="4" name="Track"/>
    <x:tableColumn id="5" name="Location"/>
    <x:tableColumn id="6" name="Role Type"/>
    <x:tableColumn id="7" name="Fit"/>
    <x:tableColumn id="8" name="Visa / Work Authorization"/>
    <x:tableColumn id="9" name="Why It Matches Her Resume"/>
    <x:tableColumn id="10" name="Compensation"/>
    <x:tableColumn id="11" name="Live Job / Source"/>
    <x:tableColumn id="12" name="Visa / Secondary Source"/>
    <x:tableColumn id="13" name="Verified On"/>
    <x:tableColumn id="14" name="Status"/>
    <x:tableColumn id="15" name="Date Applied"/>
    <x:tableColumn id="1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dcf515a5a54b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c48a52deff49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fc4d02ae1741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8840c095b047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13490915f604ea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a25c8aef6be45c1" /></Relationships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40" hidden="0" customWidth="1"/>
    <x:col min="3" max="3" width="18" hidden="0" customWidth="1"/>
    <x:col min="4" max="4" width="45" hidden="0" customWidth="1"/>
    <x:col min="5" max="5" width="24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34" t="str">
        <x:v>🎁 LIVE JOB TRACKER — AUDITED OCT. 26, 2026</x:v>
      </x:c>
      <x:c r="B1" s="34"/>
      <x:c r="C1" s="34"/>
      <x:c r="D1" s="34"/>
      <x:c r="E1" s="34"/>
      <x:c r="F1" s="34"/>
      <x:c r="G1" s="34"/>
      <x:c r="H1" s="34"/>
      <x:c r="I1" s="34"/>
      <x:c r="J1" s="34"/>
    </x:row>
    <x:row r="2">
      <x:c r="A2" s="34"/>
      <x:c r="B2" s="34"/>
      <x:c r="C2" s="34"/>
      <x:c r="D2" s="34"/>
      <x:c r="E2" s="34"/>
      <x:c r="F2" s="34"/>
      <x:c r="G2" s="34"/>
      <x:c r="H2" s="34"/>
      <x:c r="I2" s="34"/>
      <x:c r="J2" s="34"/>
      <x:c r="L2" t="str">
        <x:v>Status</x:v>
      </x:c>
      <x:c r="M2" t="str">
        <x:v>Count</x:v>
      </x:c>
    </x:row>
    <x:row r="3">
      <x:c r="L3" t="str">
        <x:v>Not Applied</x:v>
      </x:c>
      <x:c r="M3" t="n">
        <x:f>COUNTIF('All Live Jobs'!N2:N200,L3)</x:f>
        <x:v>81</x:v>
      </x:c>
    </x:row>
    <x:row r="4">
      <x:c r="A4" s="40" t="str">
        <x:v>May 2027 MS Cybersecurity • F-1/OPT-aware • explicit no-sponsor / citizenship / clearance roles removed</x:v>
      </x:c>
      <x:c r="B4" s="40"/>
      <x:c r="C4" s="40"/>
      <x:c r="D4" s="40"/>
      <x:c r="E4" s="40"/>
      <x:c r="F4" s="40"/>
      <x:c r="G4" s="40"/>
      <x:c r="H4" s="40"/>
      <x:c r="I4" s="40"/>
      <x:c r="J4" s="40"/>
      <x:c r="L4" t="str">
        <x:v>Applied</x:v>
      </x:c>
      <x:c r="M4" t="n">
        <x:f>COUNTIF('All Live Jobs'!N3:N201,L4)</x:f>
        <x:v>0</x:v>
      </x:c>
    </x:row>
    <x:row r="5">
      <x:c r="L5" t="str">
        <x:v>OA</x:v>
      </x:c>
      <x:c r="M5" t="n">
        <x:f>COUNTIF('All Live Jobs'!N4:N202,L5)</x:f>
        <x:v>0</x:v>
      </x:c>
    </x:row>
    <x:row r="6">
      <x:c r="A6" s="44" t="str">
        <x:v>Live main-list jobs</x:v>
      </x:c>
      <x:c r="B6" s="44"/>
      <x:c r="C6" s="44" t="str">
        <x:v>Apply First</x:v>
      </x:c>
      <x:c r="D6" s="44"/>
      <x:c r="E6" s="44" t="str">
        <x:v>Explicit visa-clear</x:v>
      </x:c>
      <x:c r="F6" s="44"/>
      <x:c r="G6" s="44" t="str">
        <x:v>Applied</x:v>
      </x:c>
      <x:c r="H6" s="44"/>
      <x:c r="I6" s="44" t="str">
        <x:v>Removed in audit</x:v>
      </x:c>
      <x:c r="J6" s="44"/>
      <x:c r="L6" t="str">
        <x:v>Interview</x:v>
      </x:c>
      <x:c r="M6" t="n">
        <x:f>COUNTIF('All Live Jobs'!N5:N203,L6)</x:f>
        <x:v>0</x:v>
      </x:c>
    </x:row>
    <x:row r="7">
      <x:c r="A7" s="49" t="n">
        <x:f>COUNTA('All Live Jobs'!B2:B200)</x:f>
        <x:v>81</x:v>
      </x:c>
      <x:c r="B7" s="49"/>
      <x:c r="C7" s="49" t="n">
        <x:f>COUNTIF('All Live Jobs'!A2:A200,"🔥 Apply First")</x:f>
        <x:v>32</x:v>
      </x:c>
      <x:c r="D7" s="49"/>
      <x:c r="E7" s="49" t="n">
        <x:f>COUNTIF('All Live Jobs'!H2:H200,"✅*")</x:f>
        <x:v>0</x:v>
      </x:c>
      <x:c r="F7" s="49"/>
      <x:c r="G7" s="49" t="n">
        <x:f>COUNTIF('All Live Jobs'!N2:N200,"Applied")</x:f>
        <x:v>0</x:v>
      </x:c>
      <x:c r="H7" s="49"/>
      <x:c r="I7" s="49" t="n">
        <x:v>28</x:v>
      </x:c>
      <x:c r="J7" s="49"/>
      <x:c r="L7" t="str">
        <x:v>Rejected</x:v>
      </x:c>
      <x:c r="M7" t="n">
        <x:f>COUNTIF('All Live Jobs'!N6:N204,L7)</x:f>
        <x:v>0</x:v>
      </x:c>
    </x:row>
    <x:row r="8">
      <x:c r="A8" s="49"/>
      <x:c r="B8" s="49"/>
      <x:c r="C8" s="49"/>
      <x:c r="D8" s="49"/>
      <x:c r="E8" s="49"/>
      <x:c r="F8" s="49"/>
      <x:c r="G8" s="49"/>
      <x:c r="H8" s="49"/>
      <x:c r="I8" s="49"/>
      <x:c r="J8" s="49"/>
      <x:c r="L8" t="str">
        <x:v>Offer</x:v>
      </x:c>
      <x:c r="M8" t="n">
        <x:f>COUNTIF('All Live Jobs'!N7:N205,L8)</x:f>
        <x:v>0</x:v>
      </x:c>
    </x:row>
    <x:row r="10">
      <x:c r="A10" s="3" t="str">
        <x:v>WHAT CHANGED</x:v>
      </x:c>
      <x:c r="B10" s="3"/>
      <x:c r="C10" s="3"/>
      <x:c r="D10" s="3"/>
      <x:c r="E10" s="3"/>
      <x:c r="F10" s="3"/>
      <x:c r="G10" s="3"/>
      <x:c r="H10" s="3"/>
      <x:c r="I10" s="3"/>
      <x:c r="J10" s="3"/>
    </x:row>
    <x:row r="11" ht="30" customHeight="1">
      <x:c r="A11" s="55" t="str">
        <x:v>• Every old row was treated as untrusted and the main list was rebuilt against current openings.</x:v>
      </x:c>
      <x:c r="B11" s="55"/>
      <x:c r="C11" s="55"/>
      <x:c r="D11" s="55"/>
      <x:c r="E11" s="55"/>
      <x:c r="F11" s="55"/>
      <x:c r="G11" s="55"/>
      <x:c r="H11" s="55"/>
      <x:c r="I11" s="55"/>
      <x:c r="J11" s="55"/>
    </x:row>
    <x:row r="12" ht="30" customHeight="1">
      <x:c r="A12" s="59" t="str">
        <x:v>• Closed roles and roles with explicit no-sponsorship, citizenship, U.S.-person, clearance, wrong graduation window, or senior experience requirements were removed.</x:v>
      </x:c>
      <x:c r="B12" s="59"/>
      <x:c r="C12" s="59"/>
      <x:c r="D12" s="59"/>
      <x:c r="E12" s="59"/>
      <x:c r="F12" s="59"/>
      <x:c r="G12" s="59"/>
      <x:c r="H12" s="59"/>
      <x:c r="I12" s="59"/>
      <x:c r="J12" s="59"/>
    </x:row>
    <x:row r="13" ht="30" customHeight="1">
      <x:c r="A13" s="55" t="str">
        <x:v>• ⚠️ is intentional: it means the role is active and fits the career/timing filter, but the posting does not guarantee future H-1B sponsorship. Check the exact application before submitting.</x:v>
      </x:c>
      <x:c r="B13" s="55"/>
      <x:c r="C13" s="55"/>
      <x:c r="D13" s="55"/>
      <x:c r="E13" s="55"/>
      <x:c r="F13" s="55"/>
      <x:c r="G13" s="55"/>
      <x:c r="H13" s="55"/>
      <x:c r="I13" s="55"/>
      <x:c r="J13" s="55"/>
    </x:row>
    <x:row r="14" ht="30" customHeight="1">
      <x:c r="A14" s="59" t="str">
        <x:v>• ✅ is used only when the posting explicitly clears a key visa barrier (for example GTRI says no citizenship / no clearance).</x:v>
      </x:c>
      <x:c r="B14" s="59"/>
      <x:c r="C14" s="59"/>
      <x:c r="D14" s="59"/>
      <x:c r="E14" s="59"/>
      <x:c r="F14" s="59"/>
      <x:c r="G14" s="59"/>
      <x:c r="H14" s="59"/>
      <x:c r="I14" s="59"/>
      <x:c r="J14" s="59"/>
    </x:row>
    <x:row r="15" ht="30" customHeight="1">
      <x:c r="A15" s="55" t="str">
        <x:v>• The Removed After Audit tab explains the biggest false positives from the previous workbook.</x:v>
      </x:c>
      <x:c r="B15" s="55"/>
      <x:c r="C15" s="55"/>
      <x:c r="D15" s="55"/>
      <x:c r="E15" s="55"/>
      <x:c r="F15" s="55"/>
      <x:c r="G15" s="55"/>
      <x:c r="H15" s="55"/>
      <x:c r="I15" s="55"/>
      <x:c r="J15" s="55"/>
    </x:row>
    <x:row r="16" ht="34" customHeight="1">
      <x:c r="A16" s="75" t="str">
        <x:v>Resume update: +16 current industry-experience roles added based on her IBM security background.</x:v>
      </x:c>
      <x:c r="B16" s="75"/>
      <x:c r="C16" s="75"/>
      <x:c r="D16" s="75"/>
      <x:c r="E16" s="75"/>
      <x:c r="F16" s="75"/>
      <x:c r="G16" s="75"/>
      <x:c r="H16" s="75"/>
      <x:c r="I16" s="75"/>
      <x:c r="J16" s="75"/>
    </x:row>
    <x:row r="18">
      <x:c r="A18" s="17" t="str">
        <x:v>TOP PICKS</x:v>
      </x:c>
      <x:c r="B18" s="17"/>
      <x:c r="C18" s="17"/>
      <x:c r="D18" s="17"/>
      <x:c r="E18" s="17"/>
      <x:c r="F18" s="17"/>
      <x:c r="G18" s="17"/>
      <x:c r="H18" s="17"/>
      <x:c r="I18" s="17"/>
      <x:c r="J18" s="17"/>
    </x:row>
    <x:row r="19">
      <x:c r="A19" s="66" t="str">
        <x:v>Company</x:v>
      </x:c>
      <x:c r="B19" s="66" t="str">
        <x:v>Role</x:v>
      </x:c>
      <x:c r="C19" s="66" t="str">
        <x:v>Timing</x:v>
      </x:c>
      <x:c r="D19" s="66" t="str">
        <x:v>Visa note</x:v>
      </x:c>
      <x:c r="E19" s="66" t="str">
        <x:v>Location</x:v>
      </x:c>
    </x:row>
    <x:row r="20">
      <x:c r="A20" s="12" t="str">
        <x:v>Together AI</x:v>
      </x:c>
      <x:c r="B20" s="12" t="str">
        <x:v>Hardware Security Engineer, New Grad (2027)</x:v>
      </x:c>
      <x:c r="C20" s="12" t="str">
        <x:v>Excellent</x:v>
      </x:c>
      <x:c r="D20" s="12" t="str">
        <x:v>⚠️ Sponsorship not stated on role; no explicit blocker found</x:v>
      </x:c>
      <x:c r="E20" s="12" t="str">
        <x:v>San Francisco, CA</x:v>
      </x:c>
    </x:row>
    <x:row r="21">
      <x:c r="A21" s="12" t="str">
        <x:v>Rubrik</x:v>
      </x:c>
      <x:c r="B21" s="12" t="str">
        <x:v>Software Engineer - Product Platform Security</x:v>
      </x:c>
      <x:c r="C21" s="12" t="str">
        <x:v>Excellent</x:v>
      </x:c>
      <x:c r="D21" s="12" t="str">
        <x:v>⚠️ Confirm exact-role sponsorship</x:v>
      </x:c>
      <x:c r="E21" s="12" t="str">
        <x:v>Palo Alto, CA</x:v>
      </x:c>
    </x:row>
    <x:row r="22">
      <x:c r="A22" s="12" t="str">
        <x:v>Applied Intuition</x:v>
      </x:c>
      <x:c r="B22" s="12" t="str">
        <x:v>Cybersecurity Software Engineer - New Grad (2027)</x:v>
      </x:c>
      <x:c r="C22" s="12" t="str">
        <x:v>Excellent</x:v>
      </x:c>
      <x:c r="D22" s="12" t="str">
        <x:v>⚠️ Sponsorship not stated; no explicit blocker found</x:v>
      </x:c>
      <x:c r="E22" s="12" t="str">
        <x:v>Sunnyvale, CA</x:v>
      </x:c>
    </x:row>
    <x:row r="23">
      <x:c r="A23" s="12" t="str">
        <x:v>1Password</x:v>
      </x:c>
      <x:c r="B23" s="12" t="str">
        <x:v>Junior Security Engineer</x:v>
      </x:c>
      <x:c r="C23" s="12" t="str">
        <x:v>Excellent</x:v>
      </x:c>
      <x:c r="D23" s="12" t="str">
        <x:v>⚠️ Sponsorship not stated; no explicit blocker found</x:v>
      </x:c>
      <x:c r="E23" s="12" t="str">
        <x:v>Remote US / Canada</x:v>
      </x:c>
    </x:row>
    <x:row r="24">
      <x:c r="A24" s="12" t="str">
        <x:v>CrowdStrike</x:v>
      </x:c>
      <x:c r="B24" s="12" t="str">
        <x:v>Analyst I, Falcon Complete</x:v>
      </x:c>
      <x:c r="C24" s="12" t="str">
        <x:v>Excellent</x:v>
      </x:c>
      <x:c r="D24" s="12" t="str">
        <x:v>⚠️ Confirm exact-role sponsorship</x:v>
      </x:c>
      <x:c r="E24" s="12" t="str">
        <x:v>Remote (PST/MST)</x:v>
      </x:c>
    </x:row>
    <x:row r="25">
      <x:c r="A25" s="12" t="str">
        <x:v>FICO</x:v>
      </x:c>
      <x:c r="B25" s="12" t="str">
        <x:v>Analytic Compliance, Audit Analyst II</x:v>
      </x:c>
      <x:c r="C25" s="12" t="str">
        <x:v>Strong</x:v>
      </x:c>
      <x:c r="D25" s="12" t="str">
        <x:v>⚠️ Confirm exact-role sponsorship</x:v>
      </x:c>
      <x:c r="E25" s="12" t="str">
        <x:v>Remote</x:v>
      </x:c>
    </x:row>
    <x:row r="26">
      <x:c r="A26" s="12" t="str">
        <x:v>Bloomberg Industry Group</x:v>
      </x:c>
      <x:c r="B26" s="12" t="str">
        <x:v>Application Security Engineer I</x:v>
      </x:c>
      <x:c r="C26" s="12" t="str">
        <x:v>Strong</x:v>
      </x:c>
      <x:c r="D26" s="12" t="str">
        <x:v>⚠️ Confirm exact-role sponsorship</x:v>
      </x:c>
      <x:c r="E26" s="12" t="str">
        <x:v>Arlington, VA / Remote eligible</x:v>
      </x:c>
    </x:row>
    <x:row r="27">
      <x:c r="A27" s="12" t="str">
        <x:v>Team Cymru</x:v>
      </x:c>
      <x:c r="B27" s="12" t="str">
        <x:v>Threat Intelligence Analyst</x:v>
      </x:c>
      <x:c r="C27" s="12" t="str">
        <x:v>Strong</x:v>
      </x:c>
      <x:c r="D27" s="12" t="str">
        <x:v>⚠️ Confirm exact-role sponsorship</x:v>
      </x:c>
      <x:c r="E27" s="12" t="str">
        <x:v>Lake Mary, FL / US</x:v>
      </x:c>
    </x:row>
  </x:sheetData>
  <x:mergeCells>
    <x:mergeCell ref="A1:J2"/>
    <x:mergeCell ref="A4:J4"/>
    <x:mergeCell ref="A6:B6"/>
    <x:mergeCell ref="A7:B8"/>
    <x:mergeCell ref="C6:D6"/>
    <x:mergeCell ref="C7:D8"/>
    <x:mergeCell ref="E6:F6"/>
    <x:mergeCell ref="E7:F8"/>
    <x:mergeCell ref="G6:H6"/>
    <x:mergeCell ref="G7:H8"/>
    <x:mergeCell ref="I6:J6"/>
    <x:mergeCell ref="I7:J8"/>
    <x:mergeCell ref="A10:J10"/>
    <x:mergeCell ref="A11:J11"/>
    <x:mergeCell ref="A12:J12"/>
    <x:mergeCell ref="A13:J13"/>
    <x:mergeCell ref="A14:J14"/>
    <x:mergeCell ref="A15:J15"/>
    <x:mergeCell ref="A18:J18"/>
    <x:mergeCell ref="A16:J16"/>
  </x:mergeCells>
  <x:pageMargins left="0.7" right="0.7" top="0.75" bottom="0.75" header="0.3" footer="0.3"/>
  <x:drawing xmlns:r="http://schemas.openxmlformats.org/officeDocument/2006/relationships" r:id="Rd7dcf515a5a54b23"/>
</x:worksheet>
</file>

<file path=xl/worksheets/sheet2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25" hidden="0" customWidth="1"/>
    <x:col min="5" max="5" width="24" hidden="0" customWidth="1"/>
    <x:col min="6" max="6" width="22" hidden="0" customWidth="1"/>
    <x:col min="7" max="7" width="18" hidden="0" customWidth="1"/>
    <x:col min="8" max="8" width="42" hidden="0" customWidth="1"/>
    <x:col min="9" max="9" width="46" hidden="0" customWidth="1"/>
    <x:col min="10" max="10" width="18" hidden="0" customWidth="1"/>
    <x:col min="11" max="11" width="34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6" customHeight="1">
      <x:c r="A1" s="20" t="str">
        <x:v>Priority</x:v>
      </x:c>
      <x:c r="B1" s="20" t="str">
        <x:v>Company</x:v>
      </x:c>
      <x:c r="C1" s="20" t="str">
        <x:v>Role</x:v>
      </x:c>
      <x:c r="D1" s="20" t="str">
        <x:v>Track</x:v>
      </x:c>
      <x:c r="E1" s="20" t="str">
        <x:v>Location</x:v>
      </x:c>
      <x:c r="F1" s="20" t="str">
        <x:v>Role Type</x:v>
      </x:c>
      <x:c r="G1" s="20" t="str">
        <x:v>May 2027 Timing</x:v>
      </x:c>
      <x:c r="H1" s="20" t="str">
        <x:v>Visa / Work Authorization</x:v>
      </x:c>
      <x:c r="I1" s="20" t="str">
        <x:v>Eligibility Check</x:v>
      </x:c>
      <x:c r="J1" s="20" t="str">
        <x:v>Compensation</x:v>
      </x:c>
      <x:c r="K1" s="20" t="str">
        <x:v>Live Audit Source</x:v>
      </x:c>
      <x:c r="L1" s="20" t="str">
        <x:v>Find / Apply</x:v>
      </x:c>
      <x:c r="M1" s="20" t="str">
        <x:v>Verified On</x:v>
      </x:c>
      <x:c r="N1" s="20" t="str">
        <x:v>Status</x:v>
      </x:c>
      <x:c r="O1" s="20" t="str">
        <x:v>Date Applied</x:v>
      </x:c>
      <x:c r="P1" s="20" t="str">
        <x:v>Notes</x:v>
      </x:c>
    </x:row>
    <x:row r="2">
      <x:c r="A2" s="13" t="str">
        <x:v>🔥 Apply First</x:v>
      </x:c>
      <x:c r="B2" s="13" t="str">
        <x:v>Together AI</x:v>
      </x:c>
      <x:c r="C2" s="13" t="str">
        <x:v>Hardware Security Engineer, New Grad (2027)</x:v>
      </x:c>
      <x:c r="D2" s="13" t="str">
        <x:v>Security Engineering / AI</x:v>
      </x:c>
      <x:c r="E2" s="13" t="str">
        <x:v>San Francisco, CA</x:v>
      </x:c>
      <x:c r="F2" s="13" t="str">
        <x:v>New Grad 2027</x:v>
      </x:c>
      <x:c r="G2" s="13" t="str">
        <x:v>Excellent</x:v>
      </x:c>
      <x:c r="H2" s="13" t="str">
        <x:v>⚠️ Sponsorship not stated on role; no explicit blocker found</x:v>
      </x:c>
      <x:c r="I2" s="13" t="str">
        <x:v>BS/MS 2027-fit; dedicated new-grad role</x:v>
      </x:c>
      <x:c r="J2" s="13" t="str">
        <x:v>$140K–$150K</x:v>
      </x:c>
      <x:c r="K2" s="13" t="str">
        <x:v>https://earlytechroles.com/jobs/hardware-security-engineer-new-grad-2027-together-ai/</x:v>
      </x:c>
      <x:c r="L2" s="13" t="str">
        <x:v>https://www.google.com/search?q=Together+AI+%22Hardware+Security+Engineer+New+Grad+2027%22+careers</x:v>
      </x:c>
      <x:c r="M2" s="13" t="str">
        <x:v>2026-10-26</x:v>
      </x:c>
      <x:c r="N2" s="13" t="str">
        <x:v>Not Applied</x:v>
      </x:c>
      <x:c r="O2" s="13" t="str"/>
      <x:c r="P2" s="13" t="str"/>
    </x:row>
    <x:row r="3">
      <x:c r="A3" s="13" t="str">
        <x:v>🔥 Apply First</x:v>
      </x:c>
      <x:c r="B3" s="13" t="str">
        <x:v>Rubrik</x:v>
      </x:c>
      <x:c r="C3" s="13" t="str">
        <x:v>Software Engineer - Product Platform Security</x:v>
      </x:c>
      <x:c r="D3" s="13" t="str">
        <x:v>Product Security</x:v>
      </x:c>
      <x:c r="E3" s="13" t="str">
        <x:v>Palo Alto, CA</x:v>
      </x:c>
      <x:c r="F3" s="13" t="str">
        <x:v>New Grad / Early Career</x:v>
      </x:c>
      <x:c r="G3" s="13" t="str">
        <x:v>Excellent</x:v>
      </x:c>
      <x:c r="H3" s="13" t="str">
        <x:v>⚠️ Confirm exact-role sponsorship</x:v>
      </x:c>
      <x:c r="I3" s="13" t="str">
        <x:v>0–2 years; entry point into product/platform security</x:v>
      </x:c>
      <x:c r="J3" s="13" t="str">
        <x:v>$131K–$197K</x:v>
      </x:c>
      <x:c r="K3" s="13" t="str">
        <x:v>https://github.com/HackedRico/2027-cyber-jobs</x:v>
      </x:c>
      <x:c r="L3" s="13" t="str">
        <x:v>https://www.google.com/search?q=Rubrik+%22Software+Engineer+Product+Platform+Security%22+careers</x:v>
      </x:c>
      <x:c r="M3" s="13" t="str">
        <x:v>2026-10-26</x:v>
      </x:c>
      <x:c r="N3" s="13" t="str">
        <x:v>Not Applied</x:v>
      </x:c>
      <x:c r="O3" s="13" t="str"/>
      <x:c r="P3" s="13" t="str"/>
    </x:row>
    <x:row r="4">
      <x:c r="A4" s="13" t="str">
        <x:v>🔥 Apply First</x:v>
      </x:c>
      <x:c r="B4" s="13" t="str">
        <x:v>Applied Intuition</x:v>
      </x:c>
      <x:c r="C4" s="13" t="str">
        <x:v>Cybersecurity Software Engineer - New Grad (2027)</x:v>
      </x:c>
      <x:c r="D4" s="13" t="str">
        <x:v>Embedded / Product Security</x:v>
      </x:c>
      <x:c r="E4" s="13" t="str">
        <x:v>Sunnyvale, CA</x:v>
      </x:c>
      <x:c r="F4" s="13" t="str">
        <x:v>New Grad 2027</x:v>
      </x:c>
      <x:c r="G4" s="13" t="str">
        <x:v>Excellent</x:v>
      </x:c>
      <x:c r="H4" s="13" t="str">
        <x:v>⚠️ Sponsorship not stated; no explicit blocker found</x:v>
      </x:c>
      <x:c r="I4" s="13" t="str">
        <x:v>BS/MS graduating by Dec 2026 or Summer 2027; coursework/research/internship accepted</x:v>
      </x:c>
      <x:c r="J4" s="13" t="str">
        <x:v>$130K–$158K</x:v>
      </x:c>
      <x:c r="K4" s="13" t="str">
        <x:v>https://earlytechroles.com/jobs/cybersecurity-software-engineer-new-grad-2027-applied-intuition-b7b94c0fc7/</x:v>
      </x:c>
      <x:c r="L4" s="13" t="str">
        <x:v>https://www.google.com/search?q=Applied+Intuition+%22Cybersecurity+Software+Engineer+New+Grad+2027%22+careers</x:v>
      </x:c>
      <x:c r="M4" s="13" t="str">
        <x:v>2026-10-26</x:v>
      </x:c>
      <x:c r="N4" s="13" t="str">
        <x:v>Not Applied</x:v>
      </x:c>
      <x:c r="O4" s="13" t="str"/>
      <x:c r="P4" s="13" t="str"/>
    </x:row>
    <x:row r="5">
      <x:c r="A5" s="13" t="str">
        <x:v>🔥 Apply First</x:v>
      </x:c>
      <x:c r="B5" s="13" t="str">
        <x:v>1Password</x:v>
      </x:c>
      <x:c r="C5" s="13" t="str">
        <x:v>Junior Security Engineer</x:v>
      </x:c>
      <x:c r="D5" s="13" t="str">
        <x:v>Application Security</x:v>
      </x:c>
      <x:c r="E5" s="13" t="str">
        <x:v>Remote US / Canada</x:v>
      </x:c>
      <x:c r="F5" s="13" t="str">
        <x:v>New Grad / Junior</x:v>
      </x:c>
      <x:c r="G5" s="13" t="str">
        <x:v>Excellent</x:v>
      </x:c>
      <x:c r="H5" s="13" t="str">
        <x:v>⚠️ Sponsorship not stated; no explicit blocker found</x:v>
      </x:c>
      <x:c r="I5" s="13" t="str">
        <x:v>0–2+ years; software development + security interest</x:v>
      </x:c>
      <x:c r="J5" s="13" t="str">
        <x:v>$100K–$140K</x:v>
      </x:c>
      <x:c r="K5" s="13" t="str">
        <x:v>https://earlytechroles.com/jobs/junior-security-engineer-1password-4f3cefe522/</x:v>
      </x:c>
      <x:c r="L5" s="13" t="str">
        <x:v>https://www.google.com/search?q=1Password+%22Junior+Security+Engineer%22+careers</x:v>
      </x:c>
      <x:c r="M5" s="13" t="str">
        <x:v>2026-10-26</x:v>
      </x:c>
      <x:c r="N5" s="13" t="str">
        <x:v>Not Applied</x:v>
      </x:c>
      <x:c r="O5" s="13" t="str"/>
      <x:c r="P5" s="13" t="str"/>
    </x:row>
    <x:row r="6">
      <x:c r="A6" s="13" t="str">
        <x:v>🔥 Apply First</x:v>
      </x:c>
      <x:c r="B6" s="13" t="str">
        <x:v>CrowdStrike</x:v>
      </x:c>
      <x:c r="C6" s="13" t="str">
        <x:v>Analyst I, Falcon Complete</x:v>
      </x:c>
      <x:c r="D6" s="13" t="str">
        <x:v>SOC / Incident Response</x:v>
      </x:c>
      <x:c r="E6" s="13" t="str">
        <x:v>Remote (PST/MST)</x:v>
      </x:c>
      <x:c r="F6" s="13" t="str">
        <x:v>Entry Level</x:v>
      </x:c>
      <x:c r="G6" s="13" t="str">
        <x:v>Excellent</x:v>
      </x:c>
      <x:c r="H6" s="13" t="str">
        <x:v>⚠️ Confirm exact-role sponsorship</x:v>
      </x:c>
      <x:c r="I6" s="13" t="str">
        <x:v>Analyst I; current live opening</x:v>
      </x:c>
      <x:c r="J6" s="13" t="str">
        <x:v>$85K–$120K</x:v>
      </x:c>
      <x:c r="K6" s="13" t="str">
        <x:v>https://github.com/HackedRico/2027-cyber-jobs</x:v>
      </x:c>
      <x:c r="L6" s="13" t="str">
        <x:v>https://www.google.com/search?q=CrowdStrike+%22Analyst+I+Falcon+Complete+Remote+PST+MST%22+careers</x:v>
      </x:c>
      <x:c r="M6" s="13" t="str">
        <x:v>2026-10-26</x:v>
      </x:c>
      <x:c r="N6" s="13" t="str">
        <x:v>Not Applied</x:v>
      </x:c>
      <x:c r="O6" s="13" t="str"/>
      <x:c r="P6" s="13" t="str"/>
    </x:row>
    <x:row r="7">
      <x:c r="A7" s="13" t="str">
        <x:v>🔥 Apply First</x:v>
      </x:c>
      <x:c r="B7" s="13" t="str">
        <x:v>FICO</x:v>
      </x:c>
      <x:c r="C7" s="13" t="str">
        <x:v>Analytic Compliance, Audit Analyst II</x:v>
      </x:c>
      <x:c r="D7" s="13" t="str">
        <x:v>Technology Risk / Audit</x:v>
      </x:c>
      <x:c r="E7" s="13" t="str">
        <x:v>Remote</x:v>
      </x:c>
      <x:c r="F7" s="13" t="str">
        <x:v>Entry Level</x:v>
      </x:c>
      <x:c r="G7" s="13" t="str">
        <x:v>Strong</x:v>
      </x:c>
      <x:c r="H7" s="13" t="str">
        <x:v>⚠️ Confirm exact-role sponsorship</x:v>
      </x:c>
      <x:c r="I7" s="13" t="str">
        <x:v>Entry-level; prior audit experience not required</x:v>
      </x:c>
      <x:c r="J7" s="13" t="str">
        <x:v>$70K–$110K</x:v>
      </x:c>
      <x:c r="K7" s="13" t="str">
        <x:v>https://www.indeed.com/</x:v>
      </x:c>
      <x:c r="L7" s="13" t="str">
        <x:v>https://www.google.com/search?q=FICO+%22Analytic+Compliance+Audit+Analyst+II%22+careers</x:v>
      </x:c>
      <x:c r="M7" s="13" t="str">
        <x:v>2026-10-26</x:v>
      </x:c>
      <x:c r="N7" s="13" t="str">
        <x:v>Not Applied</x:v>
      </x:c>
      <x:c r="O7" s="13" t="str"/>
      <x:c r="P7" s="13" t="str"/>
    </x:row>
    <x:row r="8">
      <x:c r="A8" s="13" t="str">
        <x:v>🔥 Apply First</x:v>
      </x:c>
      <x:c r="B8" s="13" t="str">
        <x:v>Bloomberg Industry Group</x:v>
      </x:c>
      <x:c r="C8" s="13" t="str">
        <x:v>Application Security Engineer I</x:v>
      </x:c>
      <x:c r="D8" s="13" t="str">
        <x:v>Application Security</x:v>
      </x:c>
      <x:c r="E8" s="13" t="str">
        <x:v>Arlington, VA / Remote eligible</x:v>
      </x:c>
      <x:c r="F8" s="13" t="str">
        <x:v>Engineer I</x:v>
      </x:c>
      <x:c r="G8" s="13" t="str">
        <x:v>Strong</x:v>
      </x:c>
      <x:c r="H8" s="13" t="str">
        <x:v>⚠️ Confirm exact-role sponsorship</x:v>
      </x:c>
      <x:c r="I8" s="13" t="str">
        <x:v>Engineer I; early-career AppSec</x:v>
      </x:c>
      <x:c r="J8" s="13" t="str">
        <x:v>Not listed</x:v>
      </x:c>
      <x:c r="K8" s="13" t="str">
        <x:v>https://github.com/HackedRico/2027-cyber-jobs</x:v>
      </x:c>
      <x:c r="L8" s="13" t="str">
        <x:v>https://www.google.com/search?q=Bloomberg+Industry+Group+%22Application+Security+Engineer+I%22+careers</x:v>
      </x:c>
      <x:c r="M8" s="13" t="str">
        <x:v>2026-10-26</x:v>
      </x:c>
      <x:c r="N8" s="13" t="str">
        <x:v>Not Applied</x:v>
      </x:c>
      <x:c r="O8" s="13" t="str"/>
      <x:c r="P8" s="13" t="str"/>
    </x:row>
    <x:row r="9">
      <x:c r="A9" s="13" t="str">
        <x:v>🔥 Apply First</x:v>
      </x:c>
      <x:c r="B9" s="13" t="str">
        <x:v>Team Cymru</x:v>
      </x:c>
      <x:c r="C9" s="13" t="str">
        <x:v>Threat Intelligence Analyst</x:v>
      </x:c>
      <x:c r="D9" s="13" t="str">
        <x:v>Threat Intelligence</x:v>
      </x:c>
      <x:c r="E9" s="13" t="str">
        <x:v>Lake Mary, FL / US</x:v>
      </x:c>
      <x:c r="F9" s="13" t="str">
        <x:v>Early Career</x:v>
      </x:c>
      <x:c r="G9" s="13" t="str">
        <x:v>Strong</x:v>
      </x:c>
      <x:c r="H9" s="13" t="str">
        <x:v>⚠️ Confirm exact-role sponsorship</x:v>
      </x:c>
      <x:c r="I9" s="13" t="str">
        <x:v>Dedicated CTI role at threat-intelligence company</x:v>
      </x:c>
      <x:c r="J9" s="13" t="str">
        <x:v>Not listed</x:v>
      </x:c>
      <x:c r="K9" s="13" t="str">
        <x:v>https://github.com/HackedRico/2027-cyber-jobs</x:v>
      </x:c>
      <x:c r="L9" s="13" t="str">
        <x:v>https://www.google.com/search?q=Team+Cymru+%22Threat+Intelligence+Analyst%22+careers</x:v>
      </x:c>
      <x:c r="M9" s="13" t="str">
        <x:v>2026-10-26</x:v>
      </x:c>
      <x:c r="N9" s="13" t="str">
        <x:v>Not Applied</x:v>
      </x:c>
      <x:c r="O9" s="13" t="str"/>
      <x:c r="P9" s="13" t="str"/>
    </x:row>
    <x:row r="10">
      <x:c r="A10" s="13" t="str">
        <x:v>🔥 Apply First</x:v>
      </x:c>
      <x:c r="B10" s="13" t="str">
        <x:v>Binary Defense</x:v>
      </x:c>
      <x:c r="C10" s="13" t="str">
        <x:v>Tier 1 SOC Analyst - REMOTE</x:v>
      </x:c>
      <x:c r="D10" s="13" t="str">
        <x:v>SOC / Detection</x:v>
      </x:c>
      <x:c r="E10" s="13" t="str">
        <x:v>Remote</x:v>
      </x:c>
      <x:c r="F10" s="13" t="str">
        <x:v>Tier 1</x:v>
      </x:c>
      <x:c r="G10" s="13" t="str">
        <x:v>Strong</x:v>
      </x:c>
      <x:c r="H10" s="13" t="str">
        <x:v>⚠️ Confirm exact-role sponsorship</x:v>
      </x:c>
      <x:c r="I10" s="13" t="str">
        <x:v>Tier 1 SOC; direct entry path into detection/IR</x:v>
      </x:c>
      <x:c r="J10" s="13" t="str">
        <x:v>$55.9K–$88.4K</x:v>
      </x:c>
      <x:c r="K10" s="13" t="str">
        <x:v>https://www.indeed.com/</x:v>
      </x:c>
      <x:c r="L10" s="13" t="str">
        <x:v>https://www.google.com/search?q=Binary+Defense+%22Tier+1+SOC+Analyst+Remote%22+careers</x:v>
      </x:c>
      <x:c r="M10" s="13" t="str">
        <x:v>2026-10-26</x:v>
      </x:c>
      <x:c r="N10" s="13" t="str">
        <x:v>Not Applied</x:v>
      </x:c>
      <x:c r="O10" s="13" t="str"/>
      <x:c r="P10" s="13" t="str"/>
    </x:row>
    <x:row r="11">
      <x:c r="A11" s="13" t="str">
        <x:v>🔥 Apply First</x:v>
      </x:c>
      <x:c r="B11" s="13" t="str">
        <x:v>Cencora</x:v>
      </x:c>
      <x:c r="C11" s="13" t="str">
        <x:v>Information Security Human Risk Analyst I</x:v>
      </x:c>
      <x:c r="D11" s="13" t="str">
        <x:v>Security Awareness / Human Risk</x:v>
      </x:c>
      <x:c r="E11" s="13" t="str">
        <x:v>United States</x:v>
      </x:c>
      <x:c r="F11" s="13" t="str">
        <x:v>Analyst I</x:v>
      </x:c>
      <x:c r="G11" s="13" t="str">
        <x:v>Strong</x:v>
      </x:c>
      <x:c r="H11" s="13" t="str">
        <x:v>⚠️ Confirm exact-role sponsorship</x:v>
      </x:c>
      <x:c r="I11" s="13" t="str">
        <x:v>Level-I information-security role</x:v>
      </x:c>
      <x:c r="J11" s="13" t="str">
        <x:v>$52K–$81K</x:v>
      </x:c>
      <x:c r="K11" s="13" t="str">
        <x:v>https://github.com/HackedRico/2027-cyber-jobs</x:v>
      </x:c>
      <x:c r="L11" s="13" t="str">
        <x:v>https://www.google.com/search?q=Cencora+%22Information+Security+Human+Risk+Analyst+I%22+careers</x:v>
      </x:c>
      <x:c r="M11" s="13" t="str">
        <x:v>2026-10-26</x:v>
      </x:c>
      <x:c r="N11" s="13" t="str">
        <x:v>Not Applied</x:v>
      </x:c>
      <x:c r="O11" s="13" t="str"/>
      <x:c r="P11" s="13" t="str"/>
    </x:row>
    <x:row r="12">
      <x:c r="A12" s="13" t="str">
        <x:v>🔥 Apply First</x:v>
      </x:c>
      <x:c r="B12" s="13" t="str">
        <x:v>Trail of Bits</x:v>
      </x:c>
      <x:c r="C12" s="13" t="str">
        <x:v>Security Engineer I, Application Security</x:v>
      </x:c>
      <x:c r="D12" s="13" t="str">
        <x:v>Application Security</x:v>
      </x:c>
      <x:c r="E12" s="13" t="str">
        <x:v>Remote US</x:v>
      </x:c>
      <x:c r="F12" s="13" t="str">
        <x:v>Engineer I</x:v>
      </x:c>
      <x:c r="G12" s="13" t="str">
        <x:v>Strong</x:v>
      </x:c>
      <x:c r="H12" s="13" t="str">
        <x:v>⚠️ Confirm exact-role sponsorship</x:v>
      </x:c>
      <x:c r="I12" s="13" t="str">
        <x:v>Security Engineer I; AppSec focus</x:v>
      </x:c>
      <x:c r="J12" s="13" t="str">
        <x:v>Not listed</x:v>
      </x:c>
      <x:c r="K12" s="13" t="str">
        <x:v>https://github.com/HackedRico/2027-cyber-jobs</x:v>
      </x:c>
      <x:c r="L12" s="13" t="str">
        <x:v>https://www.google.com/search?q=Trail+of+Bits+%22Security+Engineer+I+Application+Security%22+careers</x:v>
      </x:c>
      <x:c r="M12" s="13" t="str">
        <x:v>2026-10-26</x:v>
      </x:c>
      <x:c r="N12" s="13" t="str">
        <x:v>Not Applied</x:v>
      </x:c>
      <x:c r="O12" s="13" t="str"/>
      <x:c r="P12" s="13" t="str"/>
    </x:row>
    <x:row r="13">
      <x:c r="A13" s="13" t="str">
        <x:v>🔥 Apply First</x:v>
      </x:c>
      <x:c r="B13" s="13" t="str">
        <x:v>SailPoint</x:v>
      </x:c>
      <x:c r="C13" s="13" t="str">
        <x:v>Associate Security Software Engineer</x:v>
      </x:c>
      <x:c r="D13" s="13" t="str">
        <x:v>Security Engineering / IAM</x:v>
      </x:c>
      <x:c r="E13" s="13" t="str">
        <x:v>Remote US</x:v>
      </x:c>
      <x:c r="F13" s="13" t="str">
        <x:v>Associate</x:v>
      </x:c>
      <x:c r="G13" s="13" t="str">
        <x:v>Strong</x:v>
      </x:c>
      <x:c r="H13" s="13" t="str">
        <x:v>⚠️ Confirm exact-role sponsorship</x:v>
      </x:c>
      <x:c r="I13" s="13" t="str">
        <x:v>Associate-level security software engineering</x:v>
      </x:c>
      <x:c r="J13" s="13" t="str">
        <x:v>Not listed</x:v>
      </x:c>
      <x:c r="K13" s="13" t="str">
        <x:v>https://github.com/HackedRico/2027-cyber-jobs</x:v>
      </x:c>
      <x:c r="L13" s="13" t="str">
        <x:v>https://www.google.com/search?q=SailPoint+%22Associate+Security+Software+Engineer%22+careers</x:v>
      </x:c>
      <x:c r="M13" s="13" t="str">
        <x:v>2026-10-26</x:v>
      </x:c>
      <x:c r="N13" s="13" t="str">
        <x:v>Not Applied</x:v>
      </x:c>
      <x:c r="O13" s="13" t="str"/>
      <x:c r="P13" s="13" t="str"/>
    </x:row>
    <x:row r="14">
      <x:c r="A14" s="13" t="str">
        <x:v>🔥 Apply First</x:v>
      </x:c>
      <x:c r="B14" s="13" t="str">
        <x:v>Kyndryl</x:v>
      </x:c>
      <x:c r="C14" s="13" t="str">
        <x:v>Early Career Consult Program – Cybersecurity Engineer</x:v>
      </x:c>
      <x:c r="D14" s="13" t="str">
        <x:v>Security Engineering / Consulting</x:v>
      </x:c>
      <x:c r="E14" s="13" t="str">
        <x:v>Dallas / Frisco, TX</x:v>
      </x:c>
      <x:c r="F14" s="13" t="str">
        <x:v>Early Career Program</x:v>
      </x:c>
      <x:c r="G14" s="13" t="str">
        <x:v>Excellent</x:v>
      </x:c>
      <x:c r="H14" s="13" t="str">
        <x:v>⚠️ Confirm exact-role sponsorship</x:v>
      </x:c>
      <x:c r="I14" s="13" t="str">
        <x:v>Explicit early-career cybersecurity program</x:v>
      </x:c>
      <x:c r="J14" s="13" t="str">
        <x:v>Not listed</x:v>
      </x:c>
      <x:c r="K14" s="13" t="str">
        <x:v>https://github.com/HackedRico/2027-cyber-jobs</x:v>
      </x:c>
      <x:c r="L14" s="13" t="str">
        <x:v>https://www.google.com/search?q=Kyndryl+%22Early+Career+Consult+Program+Cybersecurity+Engineer%22+careers</x:v>
      </x:c>
      <x:c r="M14" s="13" t="str">
        <x:v>2026-10-26</x:v>
      </x:c>
      <x:c r="N14" s="13" t="str">
        <x:v>Not Applied</x:v>
      </x:c>
      <x:c r="O14" s="13" t="str"/>
      <x:c r="P14" s="13" t="str"/>
    </x:row>
    <x:row r="15">
      <x:c r="A15" s="13" t="str">
        <x:v>🔥 Apply First</x:v>
      </x:c>
      <x:c r="B15" s="13" t="str">
        <x:v>Kyndryl</x:v>
      </x:c>
      <x:c r="C15" s="13" t="str">
        <x:v>Early Career Consult Program – Cybersecurity Defense Associate</x:v>
      </x:c>
      <x:c r="D15" s="13" t="str">
        <x:v>SOC / Defense</x:v>
      </x:c>
      <x:c r="E15" s="13" t="str">
        <x:v>Dallas / Frisco, TX</x:v>
      </x:c>
      <x:c r="F15" s="13" t="str">
        <x:v>Early Career Program</x:v>
      </x:c>
      <x:c r="G15" s="13" t="str">
        <x:v>Excellent</x:v>
      </x:c>
      <x:c r="H15" s="13" t="str">
        <x:v>⚠️ Confirm exact-role sponsorship</x:v>
      </x:c>
      <x:c r="I15" s="13" t="str">
        <x:v>Explicit early-career cyber defense program</x:v>
      </x:c>
      <x:c r="J15" s="13" t="str">
        <x:v>Not listed</x:v>
      </x:c>
      <x:c r="K15" s="13" t="str">
        <x:v>https://github.com/HackedRico/2027-cyber-jobs</x:v>
      </x:c>
      <x:c r="L15" s="13" t="str">
        <x:v>https://www.google.com/search?q=Kyndryl+%22Early+Career+Consult+Program+Cybersecurity+Defense+Associate%22+careers</x:v>
      </x:c>
      <x:c r="M15" s="13" t="str">
        <x:v>2026-10-26</x:v>
      </x:c>
      <x:c r="N15" s="13" t="str">
        <x:v>Not Applied</x:v>
      </x:c>
      <x:c r="O15" s="13" t="str"/>
      <x:c r="P15" s="13" t="str"/>
    </x:row>
    <x:row r="16">
      <x:c r="A16" s="13" t="str">
        <x:v>🔥 Apply First</x:v>
      </x:c>
      <x:c r="B16" s="13" t="str">
        <x:v>Kyndryl</x:v>
      </x:c>
      <x:c r="C16" s="13" t="str">
        <x:v>Early Career Consult Program – Cybersecurity Infrastructure Associate</x:v>
      </x:c>
      <x:c r="D16" s="13" t="str">
        <x:v>Security Infrastructure</x:v>
      </x:c>
      <x:c r="E16" s="13" t="str">
        <x:v>Dallas / Frisco, TX</x:v>
      </x:c>
      <x:c r="F16" s="13" t="str">
        <x:v>Early Career Program</x:v>
      </x:c>
      <x:c r="G16" s="13" t="str">
        <x:v>Excellent</x:v>
      </x:c>
      <x:c r="H16" s="13" t="str">
        <x:v>⚠️ Confirm exact-role sponsorship</x:v>
      </x:c>
      <x:c r="I16" s="13" t="str">
        <x:v>Explicit early-career cybersecurity infrastructure program</x:v>
      </x:c>
      <x:c r="J16" s="13" t="str">
        <x:v>Not listed</x:v>
      </x:c>
      <x:c r="K16" s="13" t="str">
        <x:v>https://github.com/HackedRico/2027-cyber-jobs</x:v>
      </x:c>
      <x:c r="L16" s="13" t="str">
        <x:v>https://www.google.com/search?q=Kyndryl+%22Early+Career+Consult+Program+Cybersecurity+Infrastructure+Associate%22+careers</x:v>
      </x:c>
      <x:c r="M16" s="13" t="str">
        <x:v>2026-10-26</x:v>
      </x:c>
      <x:c r="N16" s="13" t="str">
        <x:v>Not Applied</x:v>
      </x:c>
      <x:c r="O16" s="13" t="str"/>
      <x:c r="P16" s="13" t="str"/>
    </x:row>
    <x:row r="17">
      <x:c r="A17" s="13" t="str">
        <x:v>🔥 Apply First</x:v>
      </x:c>
      <x:c r="B17" s="13" t="str">
        <x:v>1Password</x:v>
      </x:c>
      <x:c r="C17" s="13" t="str">
        <x:v>Security Intern, Threat Operations - Winter 2027</x:v>
      </x:c>
      <x:c r="D17" s="13" t="str">
        <x:v>Threat Operations / IR</x:v>
      </x:c>
      <x:c r="E17" s="13" t="str">
        <x:v>Remote US / Canada</x:v>
      </x:c>
      <x:c r="F17" s="13" t="str">
        <x:v>Winter 2027 Internship</x:v>
      </x:c>
      <x:c r="G17" s="13" t="str">
        <x:v>Excellent</x:v>
      </x:c>
      <x:c r="H17" s="13" t="str">
        <x:v>⚠️ Sponsorship/CPT details not stated; confirm with recruiter</x:v>
      </x:c>
      <x:c r="I17" s="13" t="str">
        <x:v>Jan–Apr 2027, before May graduation</x:v>
      </x:c>
      <x:c r="J17" s="13" t="str">
        <x:v>Not listed</x:v>
      </x:c>
      <x:c r="K17" s="13" t="str">
        <x:v>https://jobs.ashbyhq.com/1password/aac7eea6-ed7c-4871-bbf2-7cb2d5138847</x:v>
      </x:c>
      <x:c r="L17" s="13" t="str">
        <x:v>https://www.google.com/search?q=1Password+%22Security+Intern+Threat+Operations+Winter+2027%22+careers</x:v>
      </x:c>
      <x:c r="M17" s="13" t="str">
        <x:v>2026-10-26</x:v>
      </x:c>
      <x:c r="N17" s="13" t="str">
        <x:v>Not Applied</x:v>
      </x:c>
      <x:c r="O17" s="13" t="str"/>
      <x:c r="P17" s="13" t="str"/>
    </x:row>
    <x:row r="18">
      <x:c r="A18" s="13" t="str">
        <x:v>🔥 Apply First</x:v>
      </x:c>
      <x:c r="B18" s="13" t="str">
        <x:v>1Password</x:v>
      </x:c>
      <x:c r="C18" s="13" t="str">
        <x:v>Developer Intern, Data Security - Winter 2027</x:v>
      </x:c>
      <x:c r="D18" s="13" t="str">
        <x:v>Data Security</x:v>
      </x:c>
      <x:c r="E18" s="13" t="str">
        <x:v>Remote US / Canada</x:v>
      </x:c>
      <x:c r="F18" s="13" t="str">
        <x:v>Winter 2027 Internship</x:v>
      </x:c>
      <x:c r="G18" s="13" t="str">
        <x:v>Excellent</x:v>
      </x:c>
      <x:c r="H18" s="13" t="str">
        <x:v>⚠️ Sponsorship/CPT details not stated; confirm with recruiter</x:v>
      </x:c>
      <x:c r="I18" s="13" t="str">
        <x:v>Winter 2027, before May graduation</x:v>
      </x:c>
      <x:c r="J18" s="13" t="str">
        <x:v>Not listed</x:v>
      </x:c>
      <x:c r="K18" s="13" t="str">
        <x:v>https://github.com/HackedRico/2027-cyber-jobs</x:v>
      </x:c>
      <x:c r="L18" s="13" t="str">
        <x:v>https://www.google.com/search?q=1Password+%22Developer+Intern+Data+Security+Winter+2027%22+careers</x:v>
      </x:c>
      <x:c r="M18" s="13" t="str">
        <x:v>2026-10-26</x:v>
      </x:c>
      <x:c r="N18" s="13" t="str">
        <x:v>Not Applied</x:v>
      </x:c>
      <x:c r="O18" s="13" t="str"/>
      <x:c r="P18" s="13" t="str"/>
    </x:row>
    <x:row r="19">
      <x:c r="A19" s="13" t="str">
        <x:v>🔥 Apply First</x:v>
      </x:c>
      <x:c r="B19" s="13" t="str">
        <x:v>Ciena</x:v>
      </x:c>
      <x:c r="C19" s="13" t="str">
        <x:v>Software Engineer (Security) - Intern (Winter 2027)</x:v>
      </x:c>
      <x:c r="D19" s="13" t="str">
        <x:v>Product / Network Security</x:v>
      </x:c>
      <x:c r="E19" s="13" t="str">
        <x:v>Atlanta, GA</x:v>
      </x:c>
      <x:c r="F19" s="13" t="str">
        <x:v>Winter 2027 Internship</x:v>
      </x:c>
      <x:c r="G19" s="13" t="str">
        <x:v>Excellent</x:v>
      </x:c>
      <x:c r="H19" s="13" t="str">
        <x:v>⚠️ Work authorization language not surfaced; confirm CPT acceptance</x:v>
      </x:c>
      <x:c r="I19" s="13" t="str">
        <x:v>4-month term starting January 2027</x:v>
      </x:c>
      <x:c r="J19" s="13" t="str">
        <x:v>Not listed</x:v>
      </x:c>
      <x:c r="K19" s="13" t="str">
        <x:v>https://ciena.wd5.myworkdayjobs.com/careers/job/Atlanta/Software-Engineer--Security----Intern--Winter-2027-_R031926</x:v>
      </x:c>
      <x:c r="L19" s="13" t="str">
        <x:v>https://www.google.com/search?q=Ciena+%22Software+Engineer+Security+Intern+Winter+2027%22+careers</x:v>
      </x:c>
      <x:c r="M19" s="13" t="str">
        <x:v>2026-10-26</x:v>
      </x:c>
      <x:c r="N19" s="13" t="str">
        <x:v>Not Applied</x:v>
      </x:c>
      <x:c r="O19" s="13" t="str"/>
      <x:c r="P19" s="13" t="str"/>
    </x:row>
    <x:row r="20">
      <x:c r="A20" s="13" t="str">
        <x:v>🔥 Apply First</x:v>
      </x:c>
      <x:c r="B20" s="13" t="str">
        <x:v>Georgia Tech Research Institute (GTRI)</x:v>
      </x:c>
      <x:c r="C20" s="13" t="str">
        <x:v>General Cybersecurity Graduate Intern - CIPHER - Spring 2027</x:v>
      </x:c>
      <x:c r="D20" s="13" t="str">
        <x:v>Cybersecurity Research</x:v>
      </x:c>
      <x:c r="E20" s="13" t="str">
        <x:v>Atlanta, GA</x:v>
      </x:c>
      <x:c r="F20" s="13" t="str">
        <x:v>Spring 2027 Graduate Internship</x:v>
      </x:c>
      <x:c r="G20" s="13" t="str">
        <x:v>Excellent</x:v>
      </x:c>
      <x:c r="H20" s="13" t="str">
        <x:v>✅ No U.S. citizenship requirement; no clearance required</x:v>
      </x:c>
      <x:c r="I20" s="13" t="str">
        <x:v>Master’s/PhD; active Spring 2027 student requirements apply</x:v>
      </x:c>
      <x:c r="J20" s="13" t="str">
        <x:v>Not listed</x:v>
      </x:c>
      <x:c r="K20" s="13" t="str">
        <x:v>https://careers.gtri.gatech.edu/jobs/general-cybersecurity-graduate-intern-cipher-spring-2027-atlanta-georgia-united-states</x:v>
      </x:c>
      <x:c r="L20" s="13" t="str">
        <x:v>https://www.google.com/search?q=GTRI+%22General+Cybersecurity+Graduate+Intern+CIPHER+Spring+2027%22+careers</x:v>
      </x:c>
      <x:c r="M20" s="13" t="str">
        <x:v>2026-10-26</x:v>
      </x:c>
      <x:c r="N20" s="13" t="str">
        <x:v>Not Applied</x:v>
      </x:c>
      <x:c r="O20" s="13" t="str"/>
      <x:c r="P20" s="13" t="str"/>
    </x:row>
    <x:row r="21">
      <x:c r="A21" t="str">
        <x:v>🔥 Apply First</x:v>
      </x:c>
      <x:c r="B21" t="str">
        <x:v>Snowflake</x:v>
      </x:c>
      <x:c r="C21" t="str">
        <x:v>Security Incident Response Engineer</x:v>
      </x:c>
      <x:c r="D21" t="str">
        <x:v>Incident Response / SecOps</x:v>
      </x:c>
      <x:c r="E21" t="str">
        <x:v>Remote California / Bay Area</x:v>
      </x:c>
      <x:c r="F21" t="str">
        <x:v>Mid (2+ years preferred)</x:v>
      </x:c>
      <x:c r="G21" t="str">
        <x:v>Excellent</x:v>
      </x:c>
      <x:c r="H21" t="str">
        <x:v>🟢 Company H-1B history; exact-role sponsorship not guaranteed</x:v>
      </x:c>
      <x:c r="I21" t="str">
        <x:v>IBM SIEM + incident triage + Python automation map directly; role prefers 2+ years IR/SecOps.</x:v>
      </x:c>
      <x:c r="J21" t="str">
        <x:v>$143K–$205.8K</x:v>
      </x:c>
      <x:c r="K21" t="str">
        <x:v>https://careers.snowflake.com/us/en/job/7139a002-dbe3-4693-8cbc-5b780db1d29d/Incident-Response-Engineer</x:v>
      </x:c>
      <x:c r="L21" t="str">
        <x:v>https://alion.io/job/snowflake-incident-response-engineer</x:v>
      </x:c>
      <x:c r="M21" t="str">
        <x:v>2026-10-26</x:v>
      </x:c>
      <x:c r="N21" t="str">
        <x:v>Not Applied</x:v>
      </x:c>
      <x:c r="O21" t="str"/>
      <x:c r="P21" t="str"/>
    </x:row>
    <x:row r="22">
      <x:c r="A22" t="str">
        <x:v>🔥 Apply First</x:v>
      </x:c>
      <x:c r="B22" t="str">
        <x:v>Google</x:v>
      </x:c>
      <x:c r="C22" t="str">
        <x:v>Cyber Defense Detection Engineer, Mandiant, Google Cloud</x:v>
      </x:c>
      <x:c r="D22" t="str">
        <x:v>Detection Engineering / SIEM</x:v>
      </x:c>
      <x:c r="E22" t="str">
        <x:v>Remote US / Ohio</x:v>
      </x:c>
      <x:c r="F22" t="str">
        <x:v>Mid (3 years)</x:v>
      </x:c>
      <x:c r="G22" t="str">
        <x:v>Excellent</x:v>
      </x:c>
      <x:c r="H22" t="str">
        <x:v>🟢 Strong H-1B sponsor history</x:v>
      </x:c>
      <x:c r="I22" t="str">
        <x:v>3 years detection tuning/SIEM content + Python; strong match to Splunk/QRadar, tuning and automation.</x:v>
      </x:c>
      <x:c r="J22" t="str">
        <x:v>$112K–$161K</x:v>
      </x:c>
      <x:c r="K22" t="str">
        <x:v>https://simplify.jobs/p/e55468fd-684d-450a-9df2-1d8baaa6d7f5/Cyber-Defense-Detection-Engineer</x:v>
      </x:c>
      <x:c r="L22" t="str">
        <x:v>https://www.h1b-connect.com/jobs/post/6ad0962810a2af8f8f6401bc</x:v>
      </x:c>
      <x:c r="M22" t="str">
        <x:v>2026-10-26</x:v>
      </x:c>
      <x:c r="N22" t="str">
        <x:v>Not Applied</x:v>
      </x:c>
      <x:c r="O22" t="str"/>
      <x:c r="P22" t="str"/>
    </x:row>
    <x:row r="23">
      <x:c r="A23" t="str">
        <x:v>🔥 Apply First</x:v>
      </x:c>
      <x:c r="B23" t="str">
        <x:v>Google</x:v>
      </x:c>
      <x:c r="C23" t="str">
        <x:v>Security Engineer II, Core, Enterprise Access Security Engineering</x:v>
      </x:c>
      <x:c r="D23" t="str">
        <x:v>Security Engineering / IAM</x:v>
      </x:c>
      <x:c r="E23" t="str">
        <x:v>San Jose, CA</x:v>
      </x:c>
      <x:c r="F23" t="str">
        <x:v>Mid (1+ year)</x:v>
      </x:c>
      <x:c r="G23" t="str">
        <x:v>Excellent</x:v>
      </x:c>
      <x:c r="H23" t="str">
        <x:v>🟢 Elite H-1B sponsor history</x:v>
      </x:c>
      <x:c r="I23" t="str">
        <x:v>Security analysis, network security, automation and access-policy work fit her IBM security engineering background.</x:v>
      </x:c>
      <x:c r="J23" t="str">
        <x:v>$123K–$174K</x:v>
      </x:c>
      <x:c r="K23" t="str">
        <x:v>https://www.h1b-connect.com/jobs/post/6ad0ac2610a2af8f8f6406e2</x:v>
      </x:c>
      <x:c r="L23" t="str">
        <x:v>https://www.h1b-connect.com/jobs/post/6ad0ac2610a2af8f8f6406e2</x:v>
      </x:c>
      <x:c r="M23" t="str">
        <x:v>2026-10-26</x:v>
      </x:c>
      <x:c r="N23" t="str">
        <x:v>Not Applied</x:v>
      </x:c>
      <x:c r="O23" t="str"/>
      <x:c r="P23" t="str"/>
    </x:row>
    <x:row r="24">
      <x:c r="A24" t="str">
        <x:v>🔥 Apply First</x:v>
      </x:c>
      <x:c r="B24" t="str">
        <x:v>Google</x:v>
      </x:c>
      <x:c r="C24" t="str">
        <x:v>Security Engineer III, Cloud Security Controls</x:v>
      </x:c>
      <x:c r="D24" t="str">
        <x:v>Cloud Security Engineering</x:v>
      </x:c>
      <x:c r="E24" t="str">
        <x:v>New York, NY / San Jose, CA</x:v>
      </x:c>
      <x:c r="F24" t="str">
        <x:v>Mid (2+ years)</x:v>
      </x:c>
      <x:c r="G24" t="str">
        <x:v>Excellent</x:v>
      </x:c>
      <x:c r="H24" t="str">
        <x:v>🟢 Strong H-1B sponsor history</x:v>
      </x:c>
      <x:c r="I24" t="str">
        <x:v>2 years security assessments/design reviews + security engineering + coding; her cloud/on-prem security and Python experience are relevant.</x:v>
      </x:c>
      <x:c r="J24" t="str">
        <x:v>Not listed</x:v>
      </x:c>
      <x:c r="K24" t="str">
        <x:v>https://www.google.com/about/careers/applications/jobs/results/136535844847526598-security-engineer-iii-cloud-security-controls</x:v>
      </x:c>
      <x:c r="L24" t="str">
        <x:v>https://www.google.com/about/careers/applications/jobs/results/136535844847526598-security-engineer-iii-cloud-security-controls</x:v>
      </x:c>
      <x:c r="M24" t="str">
        <x:v>2026-10-26</x:v>
      </x:c>
      <x:c r="N24" t="str">
        <x:v>Not Applied</x:v>
      </x:c>
      <x:c r="O24" t="str"/>
      <x:c r="P24" t="str"/>
    </x:row>
    <x:row r="25">
      <x:c r="A25" t="str">
        <x:v>🔥 Apply First</x:v>
      </x:c>
      <x:c r="B25" t="str">
        <x:v>Microsoft</x:v>
      </x:c>
      <x:c r="C25" t="str">
        <x:v>Security Operations Engineer - Cloud Security</x:v>
      </x:c>
      <x:c r="D25" t="str">
        <x:v>Cloud Security / SecOps</x:v>
      </x:c>
      <x:c r="E25" t="str">
        <x:v>Redmond, WA</x:v>
      </x:c>
      <x:c r="F25" t="str">
        <x:v>Mid / Master's entry (1+ year)</x:v>
      </x:c>
      <x:c r="G25" t="str">
        <x:v>Excellent</x:v>
      </x:c>
      <x:c r="H25" t="str">
        <x:v>🟢 H-1B sponsorship source available</x:v>
      </x:c>
      <x:c r="I25" t="str">
        <x:v>Master's + 1 year accepted; SOC, SIEM, incident response and cloud operations align closely.</x:v>
      </x:c>
      <x:c r="J25" t="str">
        <x:v>$102.1K–$219.2K</x:v>
      </x:c>
      <x:c r="K25" t="str">
        <x:v>https://www.h1b-connect.com/jobs/post/6adb2a89395b74cab2e4ecbb</x:v>
      </x:c>
      <x:c r="L25" t="str">
        <x:v>https://www.h1b-connect.com/jobs/post/6adb2a89395b74cab2e4ecbb</x:v>
      </x:c>
      <x:c r="M25" t="str">
        <x:v>2026-10-26</x:v>
      </x:c>
      <x:c r="N25" t="str">
        <x:v>Not Applied</x:v>
      </x:c>
      <x:c r="O25" t="str"/>
      <x:c r="P25" t="str"/>
    </x:row>
    <x:row r="26">
      <x:c r="A26" t="str">
        <x:v>🔥 Apply First</x:v>
      </x:c>
      <x:c r="B26" t="str">
        <x:v>Deloitte</x:v>
      </x:c>
      <x:c r="C26" t="str">
        <x:v>Cyber Operate Detection Engineer - Consultant</x:v>
      </x:c>
      <x:c r="D26" t="str">
        <x:v>Detection Engineering / SOC</x:v>
      </x:c>
      <x:c r="E26" t="str">
        <x:v>Atlanta, GA</x:v>
      </x:c>
      <x:c r="F26" t="str">
        <x:v>Mid (2+ years)</x:v>
      </x:c>
      <x:c r="G26" t="str">
        <x:v>Excellent</x:v>
      </x:c>
      <x:c r="H26" t="str">
        <x:v>✅ H1B sponsorship available</x:v>
      </x:c>
      <x:c r="I26" t="str">
        <x:v>2+ years cyber/SOC/threat-intel experience; Atlanta; detection engineering is a direct fit for SIEM tuning and automation.</x:v>
      </x:c>
      <x:c r="J26" t="str">
        <x:v>$82.6K–$162.8K</x:v>
      </x:c>
      <x:c r="K26" t="str">
        <x:v>https://simplify.jobs/p/c5204b3a-626a-4b1e-983b-cc384017e5ce/Cyber-Operate-Detection-Engineer</x:v>
      </x:c>
      <x:c r="L26" t="str">
        <x:v>https://simplify.jobs/p/c5204b3a-626a-4b1e-983b-cc384017e5ce/Cyber-Operate-Detection-Engineer</x:v>
      </x:c>
      <x:c r="M26" t="str">
        <x:v>2026-10-26</x:v>
      </x:c>
      <x:c r="N26" t="str">
        <x:v>Not Applied</x:v>
      </x:c>
      <x:c r="O26" t="str"/>
      <x:c r="P26" t="str"/>
    </x:row>
    <x:row r="27">
      <x:c r="A27" t="str">
        <x:v>🔥 Apply First</x:v>
      </x:c>
      <x:c r="B27" t="str">
        <x:v>Deloitte</x:v>
      </x:c>
      <x:c r="C27" t="str">
        <x:v>Cyber-AI Cloud Security Engineer</x:v>
      </x:c>
      <x:c r="D27" t="str">
        <x:v>Cloud / AI Security</x:v>
      </x:c>
      <x:c r="E27" t="str">
        <x:v>Atlanta, GA</x:v>
      </x:c>
      <x:c r="F27" t="str">
        <x:v>Junior/Mid (2+ years)</x:v>
      </x:c>
      <x:c r="G27" t="str">
        <x:v>Excellent</x:v>
      </x:c>
      <x:c r="H27" t="str">
        <x:v>✅ H1B sponsorship available</x:v>
      </x:c>
      <x:c r="I27" t="str">
        <x:v>2+ years cyber/cloud/appsec accepted; combines her security background with graduate-level cybersecurity.</x:v>
      </x:c>
      <x:c r="J27" t="str">
        <x:v>$82.6K–$162.8K</x:v>
      </x:c>
      <x:c r="K27" t="str">
        <x:v>https://simplify.jobs/p/c19d16ef-6f7c-4aaa-8e1f-213f733bd4f5/Cyber-AI-Cloud-Security-Engineer</x:v>
      </x:c>
      <x:c r="L27" t="str">
        <x:v>https://simplify.jobs/p/c19d16ef-6f7c-4aaa-8e1f-213f733bd4f5/Cyber-AI-Cloud-Security-Engineer</x:v>
      </x:c>
      <x:c r="M27" t="str">
        <x:v>2026-10-26</x:v>
      </x:c>
      <x:c r="N27" t="str">
        <x:v>Not Applied</x:v>
      </x:c>
      <x:c r="O27" t="str"/>
      <x:c r="P27" t="str"/>
    </x:row>
    <x:row r="28">
      <x:c r="A28" t="str">
        <x:v>🔥 Apply First</x:v>
      </x:c>
      <x:c r="B28" t="str">
        <x:v>Deloitte</x:v>
      </x:c>
      <x:c r="C28" t="str">
        <x:v>CIAM Security Engineer / Consultant</x:v>
      </x:c>
      <x:c r="D28" t="str">
        <x:v>IAM / Application Security</x:v>
      </x:c>
      <x:c r="E28" t="str">
        <x:v>Atlanta, GA / Remote</x:v>
      </x:c>
      <x:c r="F28" t="str">
        <x:v>Junior/Mid (2+ years)</x:v>
      </x:c>
      <x:c r="G28" t="str">
        <x:v>Excellent</x:v>
      </x:c>
      <x:c r="H28" t="str">
        <x:v>✅ Limited immigration sponsorship may be available</x:v>
      </x:c>
      <x:c r="I28" t="str">
        <x:v>2 years industry + IAM/API security; good match to auth concepts, secure SDLC and security engineering.</x:v>
      </x:c>
      <x:c r="J28" t="str">
        <x:v>$82.6K–$162.8K</x:v>
      </x:c>
      <x:c r="K28" t="str">
        <x:v>https://simplify.jobs/p/b9c7e1c1-7f31-4d60-8375-7832cd0ff3e6/Security-Engineer</x:v>
      </x:c>
      <x:c r="L28" t="str">
        <x:v>https://simplify.jobs/p/b9c7e1c1-7f31-4d60-8375-7832cd0ff3e6/Security-Engineer</x:v>
      </x:c>
      <x:c r="M28" t="str">
        <x:v>2026-10-26</x:v>
      </x:c>
      <x:c r="N28" t="str">
        <x:v>Not Applied</x:v>
      </x:c>
      <x:c r="O28" t="str"/>
      <x:c r="P28" t="str"/>
    </x:row>
    <x:row r="29">
      <x:c r="A29" t="str">
        <x:v>🔥 Apply First</x:v>
      </x:c>
      <x:c r="B29" t="str">
        <x:v>Travelers</x:v>
      </x:c>
      <x:c r="C29" t="str">
        <x:v>Cybersecurity Ops Technologist I - Splunk SIEM Engineer</x:v>
      </x:c>
      <x:c r="D29" t="str">
        <x:v>SIEM / Detection Engineering</x:v>
      </x:c>
      <x:c r="E29" t="str">
        <x:v>Atlanta, GA</x:v>
      </x:c>
      <x:c r="F29" t="str">
        <x:v>Mid (2-year minimum)</x:v>
      </x:c>
      <x:c r="G29" t="str">
        <x:v>Excellent</x:v>
      </x:c>
      <x:c r="H29" t="str">
        <x:v>⚠️ No explicit no-sponsorship language found; verify exact-role sponsorship</x:v>
      </x:c>
      <x:c r="I29" t="str">
        <x:v>Almost tailor-made: Splunk/SIEM, Python, AWS, SOC workflows, alert/detection optimization.</x:v>
      </x:c>
      <x:c r="J29" t="str">
        <x:v>$99.1K–$163.4K</x:v>
      </x:c>
      <x:c r="K29" t="str">
        <x:v>https://travelers.wd5.myworkdayjobs.com/External/job/CT---Hartford/Cybersecurity-Ops-Technologist---Splunk-SIEM-Engineer_R-51597</x:v>
      </x:c>
      <x:c r="L29" t="str">
        <x:v>https://careers.travelers.com/job/23629482/</x:v>
      </x:c>
      <x:c r="M29" t="str">
        <x:v>2026-10-26</x:v>
      </x:c>
      <x:c r="N29" t="str">
        <x:v>Not Applied</x:v>
      </x:c>
      <x:c r="O29" t="str"/>
      <x:c r="P29" t="str"/>
    </x:row>
    <x:row r="30">
      <x:c r="A30" t="str">
        <x:v>🔥 Apply First</x:v>
      </x:c>
      <x:c r="B30" t="str">
        <x:v>Axon</x:v>
      </x:c>
      <x:c r="C30" t="str">
        <x:v>Security Operations Engineer II</x:v>
      </x:c>
      <x:c r="D30" t="str">
        <x:v>Security Operations / Automation</x:v>
      </x:c>
      <x:c r="E30" t="str">
        <x:v>Scottsdale, AZ / Washington</x:v>
      </x:c>
      <x:c r="F30" t="str">
        <x:v>Mid (2+ years)</x:v>
      </x:c>
      <x:c r="G30" t="str">
        <x:v>Excellent</x:v>
      </x:c>
      <x:c r="H30" t="str">
        <x:v>🟢 Likely H-1B sponsor; substantial recent filing history</x:v>
      </x:c>
      <x:c r="I30" t="str">
        <x:v>2+ years SecOps/detection; Python, SIEM/SOAR, APIs, IR and automation fit very closely.</x:v>
      </x:c>
      <x:c r="J30" t="str">
        <x:v>$96K–$153.6K</x:v>
      </x:c>
      <x:c r="K30" t="str">
        <x:v>https://job-boards.greenhouse.io/axon/jobs/8033215003</x:v>
      </x:c>
      <x:c r="L30" t="str">
        <x:v>https://theopenbound.com/jobs/fc93a0f8-eac9-4799-aefc-82d643ce2e72</x:v>
      </x:c>
      <x:c r="M30" t="str">
        <x:v>2026-10-26</x:v>
      </x:c>
      <x:c r="N30" t="str">
        <x:v>Not Applied</x:v>
      </x:c>
      <x:c r="O30" t="str"/>
      <x:c r="P30" t="str"/>
    </x:row>
    <x:row r="31">
      <x:c r="A31" t="str">
        <x:v>🔥 Apply First</x:v>
      </x:c>
      <x:c r="B31" t="str">
        <x:v>Amazon / AWS</x:v>
      </x:c>
      <x:c r="C31" t="str">
        <x:v>Application Security Engineer</x:v>
      </x:c>
      <x:c r="D31" t="str">
        <x:v>Application Security</x:v>
      </x:c>
      <x:c r="E31" t="str">
        <x:v>Arlington, VA</x:v>
      </x:c>
      <x:c r="F31" t="str">
        <x:v>Mid (2+ years)</x:v>
      </x:c>
      <x:c r="G31" t="str">
        <x:v>Excellent</x:v>
      </x:c>
      <x:c r="H31" t="str">
        <x:v>🟢 Strong H-1B sponsor history</x:v>
      </x:c>
      <x:c r="I31" t="str">
        <x:v>Her OWASP/secure SDLC, Python and security review experience align with AWS AppSec requirements.</x:v>
      </x:c>
      <x:c r="J31" t="str">
        <x:v>$159.3K–$202.4K</x:v>
      </x:c>
      <x:c r="K31" t="str">
        <x:v>https://www.h1b-connect.com/jobs/post/6ad0a27710a2af8f8f64047f</x:v>
      </x:c>
      <x:c r="L31" t="str">
        <x:v>https://www.h1b-connect.com/jobs/post/6ad0a27710a2af8f8f64047f</x:v>
      </x:c>
      <x:c r="M31" t="str">
        <x:v>2026-10-26</x:v>
      </x:c>
      <x:c r="N31" t="str">
        <x:v>Not Applied</x:v>
      </x:c>
      <x:c r="O31" t="str"/>
      <x:c r="P31" t="str"/>
    </x:row>
    <x:row r="32">
      <x:c r="A32" t="str">
        <x:v>🔥 Apply First</x:v>
      </x:c>
      <x:c r="B32" t="str">
        <x:v>DoorDash</x:v>
      </x:c>
      <x:c r="C32" t="str">
        <x:v>Detection Engineer - Protective Services</x:v>
      </x:c>
      <x:c r="D32" t="str">
        <x:v>Detection Engineering / Threat Hunting</x:v>
      </x:c>
      <x:c r="E32" t="str">
        <x:v>Remote US</x:v>
      </x:c>
      <x:c r="F32" t="str">
        <x:v>Mid (3+ years)</x:v>
      </x:c>
      <x:c r="G32" t="str">
        <x:v>Excellent</x:v>
      </x:c>
      <x:c r="H32" t="str">
        <x:v>🟢 Company historically sponsors H-1B</x:v>
      </x:c>
      <x:c r="I32" t="str">
        <x:v>3+ years detection/IR/SecOps; Python and SIEM experience strongly match.</x:v>
      </x:c>
      <x:c r="J32" t="str">
        <x:v>$130.6K–$192K</x:v>
      </x:c>
      <x:c r="K32" t="str">
        <x:v>https://simplify.jobs/p/396f6c47-857d-426a-ba8b-d7773daee51a/Detection-Engineer</x:v>
      </x:c>
      <x:c r="L32" t="str">
        <x:v>https://simplify.jobs/p/396f6c47-857d-426a-ba8b-d7773daee51a/Detection-Engineer</x:v>
      </x:c>
      <x:c r="M32" t="str">
        <x:v>2026-10-26</x:v>
      </x:c>
      <x:c r="N32" t="str">
        <x:v>Not Applied</x:v>
      </x:c>
      <x:c r="O32" t="str"/>
      <x:c r="P32" t="str"/>
    </x:row>
    <x:row r="33">
      <x:c r="A33" t="str">
        <x:v>🔥 Apply First</x:v>
      </x:c>
      <x:c r="B33" t="str">
        <x:v>Credit Acceptance</x:v>
      </x:c>
      <x:c r="C33" t="str">
        <x:v>Security Operations Engineer 2</x:v>
      </x:c>
      <x:c r="D33" t="str">
        <x:v>Security Operations / Automation</x:v>
      </x:c>
      <x:c r="E33" t="str">
        <x:v>United States</x:v>
      </x:c>
      <x:c r="F33" t="str">
        <x:v>Mid (2+ years)</x:v>
      </x:c>
      <x:c r="G33" t="str">
        <x:v>Excellent</x:v>
      </x:c>
      <x:c r="H33" t="str">
        <x:v>⚠️ No explicit no-sponsorship blocker found; verify exact-role sponsorship</x:v>
      </x:c>
      <x:c r="I33" t="str">
        <x:v>2+ years; triage, SIEM/EDR/WAF, scripting/APIs and automation strongly match IBM experience.</x:v>
      </x:c>
      <x:c r="J33" t="str">
        <x:v>$84.7K–$124.2K</x:v>
      </x:c>
      <x:c r="K33" t="str">
        <x:v>https://simplify.jobs/p/63a5fae6-6bbf-461f-8cf6-57a76f4a7d6c/Security-Operations-Engineer-2</x:v>
      </x:c>
      <x:c r="L33" t="str">
        <x:v>https://simplify.jobs/p/63a5fae6-6bbf-461f-8cf6-57a76f4a7d6c/Security-Operations-Engineer-2</x:v>
      </x:c>
      <x:c r="M33" t="str">
        <x:v>2026-10-26</x:v>
      </x:c>
      <x:c r="N33" t="str">
        <x:v>Not Applied</x:v>
      </x:c>
      <x:c r="O33" t="str"/>
      <x:c r="P33" t="str"/>
    </x:row>
  </x:sheetData>
  <x:conditionalFormatting sqref="H2:H100">
    <x:cfRule type="expression" dxfId="6" priority="1">
      <x:formula>LEFT(H2,1)="✅"</x:formula>
    </x:cfRule>
    <x:cfRule type="expression" dxfId="7" priority="2">
      <x:formula>LEFT(H2,1)="⚠"</x:formula>
    </x:cfRule>
  </x:conditionalFormatting>
  <x:dataValidations count="1">
    <x:dataValidation type="list" sqref="N2:N100">
      <x:formula1>"Not Applied,Applied,OA,Interview,Rejected,Offer"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c48a52deff493b"/>
  </x:tableParts>
</x:worksheet>
</file>

<file path=xl/worksheets/sheet3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25" hidden="0" customWidth="1"/>
    <x:col min="5" max="5" width="24" hidden="0" customWidth="1"/>
    <x:col min="6" max="6" width="22" hidden="0" customWidth="1"/>
    <x:col min="7" max="7" width="18" hidden="0" customWidth="1"/>
    <x:col min="8" max="8" width="42" hidden="0" customWidth="1"/>
    <x:col min="9" max="9" width="46" hidden="0" customWidth="1"/>
    <x:col min="10" max="10" width="18" hidden="0" customWidth="1"/>
    <x:col min="11" max="11" width="34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28" hidden="0" customWidth="1"/>
  </x:cols>
  <x:sheetData>
    <x:row r="1" ht="36" customHeight="1">
      <x:c r="A1" s="6" t="str">
        <x:v>Priority</x:v>
      </x:c>
      <x:c r="B1" s="6" t="str">
        <x:v>Company</x:v>
      </x:c>
      <x:c r="C1" s="6" t="str">
        <x:v>Role</x:v>
      </x:c>
      <x:c r="D1" s="6" t="str">
        <x:v>Track</x:v>
      </x:c>
      <x:c r="E1" s="6" t="str">
        <x:v>Location</x:v>
      </x:c>
      <x:c r="F1" s="6" t="str">
        <x:v>Role Type</x:v>
      </x:c>
      <x:c r="G1" s="6" t="str">
        <x:v>May 2027 Timing</x:v>
      </x:c>
      <x:c r="H1" s="6" t="str">
        <x:v>Visa / Work Authorization</x:v>
      </x:c>
      <x:c r="I1" s="6" t="str">
        <x:v>Eligibility Check</x:v>
      </x:c>
      <x:c r="J1" s="6" t="str">
        <x:v>Compensation</x:v>
      </x:c>
      <x:c r="K1" s="6" t="str">
        <x:v>Live Audit Source</x:v>
      </x:c>
      <x:c r="L1" s="6" t="str">
        <x:v>Find / Apply</x:v>
      </x:c>
      <x:c r="M1" s="6" t="str">
        <x:v>Verified On</x:v>
      </x:c>
      <x:c r="N1" s="6" t="str">
        <x:v>Status</x:v>
      </x:c>
      <x:c r="O1" s="6" t="str">
        <x:v>Date Applied</x:v>
      </x:c>
      <x:c r="P1" s="6" t="str">
        <x:v>Notes</x:v>
      </x:c>
    </x:row>
    <x:row r="2">
      <x:c r="A2" s="13" t="str">
        <x:v>🔥 Apply First</x:v>
      </x:c>
      <x:c r="B2" s="13" t="str">
        <x:v>Together AI</x:v>
      </x:c>
      <x:c r="C2" s="13" t="str">
        <x:v>Hardware Security Engineer, New Grad (2027)</x:v>
      </x:c>
      <x:c r="D2" s="13" t="str">
        <x:v>Security Engineering / AI</x:v>
      </x:c>
      <x:c r="E2" s="13" t="str">
        <x:v>San Francisco, CA</x:v>
      </x:c>
      <x:c r="F2" s="13" t="str">
        <x:v>New Grad 2027</x:v>
      </x:c>
      <x:c r="G2" s="13" t="str">
        <x:v>Excellent</x:v>
      </x:c>
      <x:c r="H2" s="13" t="str">
        <x:v>⚠️ Sponsorship not stated on role; no explicit blocker found</x:v>
      </x:c>
      <x:c r="I2" s="13" t="str">
        <x:v>BS/MS 2027-fit; dedicated new-grad role</x:v>
      </x:c>
      <x:c r="J2" s="13" t="str">
        <x:v>$140K–$150K</x:v>
      </x:c>
      <x:c r="K2" s="13" t="str">
        <x:v>https://earlytechroles.com/jobs/hardware-security-engineer-new-grad-2027-together-ai/</x:v>
      </x:c>
      <x:c r="L2" s="13" t="str">
        <x:v>https://www.google.com/search?q=Together+AI+%22Hardware+Security+Engineer+New+Grad+2027%22+careers</x:v>
      </x:c>
      <x:c r="M2" s="13" t="str">
        <x:v>2026-10-26</x:v>
      </x:c>
      <x:c r="N2" s="13" t="str">
        <x:v>Not Applied</x:v>
      </x:c>
      <x:c r="O2" s="13" t="str"/>
      <x:c r="P2" s="13" t="str"/>
    </x:row>
    <x:row r="3">
      <x:c r="A3" s="13" t="str">
        <x:v>🔥 Apply First</x:v>
      </x:c>
      <x:c r="B3" s="13" t="str">
        <x:v>Rubrik</x:v>
      </x:c>
      <x:c r="C3" s="13" t="str">
        <x:v>Software Engineer - Product Platform Security</x:v>
      </x:c>
      <x:c r="D3" s="13" t="str">
        <x:v>Product Security</x:v>
      </x:c>
      <x:c r="E3" s="13" t="str">
        <x:v>Palo Alto, CA</x:v>
      </x:c>
      <x:c r="F3" s="13" t="str">
        <x:v>New Grad / Early Career</x:v>
      </x:c>
      <x:c r="G3" s="13" t="str">
        <x:v>Excellent</x:v>
      </x:c>
      <x:c r="H3" s="13" t="str">
        <x:v>⚠️ Confirm exact-role sponsorship</x:v>
      </x:c>
      <x:c r="I3" s="13" t="str">
        <x:v>0–2 years; entry point into product/platform security</x:v>
      </x:c>
      <x:c r="J3" s="13" t="str">
        <x:v>$131K–$197K</x:v>
      </x:c>
      <x:c r="K3" s="13" t="str">
        <x:v>https://github.com/HackedRico/2027-cyber-jobs</x:v>
      </x:c>
      <x:c r="L3" s="13" t="str">
        <x:v>https://www.google.com/search?q=Rubrik+%22Software+Engineer+Product+Platform+Security%22+careers</x:v>
      </x:c>
      <x:c r="M3" s="13" t="str">
        <x:v>2026-10-26</x:v>
      </x:c>
      <x:c r="N3" s="13" t="str">
        <x:v>Not Applied</x:v>
      </x:c>
      <x:c r="O3" s="13" t="str"/>
      <x:c r="P3" s="13" t="str"/>
    </x:row>
    <x:row r="4">
      <x:c r="A4" s="13" t="str">
        <x:v>🔥 Apply First</x:v>
      </x:c>
      <x:c r="B4" s="13" t="str">
        <x:v>Applied Intuition</x:v>
      </x:c>
      <x:c r="C4" s="13" t="str">
        <x:v>Cybersecurity Software Engineer - New Grad (2027)</x:v>
      </x:c>
      <x:c r="D4" s="13" t="str">
        <x:v>Embedded / Product Security</x:v>
      </x:c>
      <x:c r="E4" s="13" t="str">
        <x:v>Sunnyvale, CA</x:v>
      </x:c>
      <x:c r="F4" s="13" t="str">
        <x:v>New Grad 2027</x:v>
      </x:c>
      <x:c r="G4" s="13" t="str">
        <x:v>Excellent</x:v>
      </x:c>
      <x:c r="H4" s="13" t="str">
        <x:v>⚠️ Sponsorship not stated; no explicit blocker found</x:v>
      </x:c>
      <x:c r="I4" s="13" t="str">
        <x:v>BS/MS graduating by Dec 2026 or Summer 2027; coursework/research/internship accepted</x:v>
      </x:c>
      <x:c r="J4" s="13" t="str">
        <x:v>$130K–$158K</x:v>
      </x:c>
      <x:c r="K4" s="13" t="str">
        <x:v>https://earlytechroles.com/jobs/cybersecurity-software-engineer-new-grad-2027-applied-intuition-b7b94c0fc7/</x:v>
      </x:c>
      <x:c r="L4" s="13" t="str">
        <x:v>https://www.google.com/search?q=Applied+Intuition+%22Cybersecurity+Software+Engineer+New+Grad+2027%22+careers</x:v>
      </x:c>
      <x:c r="M4" s="13" t="str">
        <x:v>2026-10-26</x:v>
      </x:c>
      <x:c r="N4" s="13" t="str">
        <x:v>Not Applied</x:v>
      </x:c>
      <x:c r="O4" s="13" t="str"/>
      <x:c r="P4" s="13" t="str"/>
    </x:row>
    <x:row r="5">
      <x:c r="A5" s="13" t="str">
        <x:v>🔥 Apply First</x:v>
      </x:c>
      <x:c r="B5" s="13" t="str">
        <x:v>1Password</x:v>
      </x:c>
      <x:c r="C5" s="13" t="str">
        <x:v>Junior Security Engineer</x:v>
      </x:c>
      <x:c r="D5" s="13" t="str">
        <x:v>Application Security</x:v>
      </x:c>
      <x:c r="E5" s="13" t="str">
        <x:v>Remote US / Canada</x:v>
      </x:c>
      <x:c r="F5" s="13" t="str">
        <x:v>New Grad / Junior</x:v>
      </x:c>
      <x:c r="G5" s="13" t="str">
        <x:v>Excellent</x:v>
      </x:c>
      <x:c r="H5" s="13" t="str">
        <x:v>⚠️ Sponsorship not stated; no explicit blocker found</x:v>
      </x:c>
      <x:c r="I5" s="13" t="str">
        <x:v>0–2+ years; software development + security interest</x:v>
      </x:c>
      <x:c r="J5" s="13" t="str">
        <x:v>$100K–$140K</x:v>
      </x:c>
      <x:c r="K5" s="13" t="str">
        <x:v>https://earlytechroles.com/jobs/junior-security-engineer-1password-4f3cefe522/</x:v>
      </x:c>
      <x:c r="L5" s="13" t="str">
        <x:v>https://www.google.com/search?q=1Password+%22Junior+Security+Engineer%22+careers</x:v>
      </x:c>
      <x:c r="M5" s="13" t="str">
        <x:v>2026-10-26</x:v>
      </x:c>
      <x:c r="N5" s="13" t="str">
        <x:v>Not Applied</x:v>
      </x:c>
      <x:c r="O5" s="13" t="str"/>
      <x:c r="P5" s="13" t="str"/>
    </x:row>
    <x:row r="6">
      <x:c r="A6" s="13" t="str">
        <x:v>🔥 Apply First</x:v>
      </x:c>
      <x:c r="B6" s="13" t="str">
        <x:v>CrowdStrike</x:v>
      </x:c>
      <x:c r="C6" s="13" t="str">
        <x:v>Analyst I, Falcon Complete</x:v>
      </x:c>
      <x:c r="D6" s="13" t="str">
        <x:v>SOC / Incident Response</x:v>
      </x:c>
      <x:c r="E6" s="13" t="str">
        <x:v>Remote (PST/MST)</x:v>
      </x:c>
      <x:c r="F6" s="13" t="str">
        <x:v>Entry Level</x:v>
      </x:c>
      <x:c r="G6" s="13" t="str">
        <x:v>Excellent</x:v>
      </x:c>
      <x:c r="H6" s="13" t="str">
        <x:v>⚠️ Confirm exact-role sponsorship</x:v>
      </x:c>
      <x:c r="I6" s="13" t="str">
        <x:v>Analyst I; current live opening</x:v>
      </x:c>
      <x:c r="J6" s="13" t="str">
        <x:v>$85K–$120K</x:v>
      </x:c>
      <x:c r="K6" s="13" t="str">
        <x:v>https://github.com/HackedRico/2027-cyber-jobs</x:v>
      </x:c>
      <x:c r="L6" s="13" t="str">
        <x:v>https://www.google.com/search?q=CrowdStrike+%22Analyst+I+Falcon+Complete+Remote+PST+MST%22+careers</x:v>
      </x:c>
      <x:c r="M6" s="13" t="str">
        <x:v>2026-10-26</x:v>
      </x:c>
      <x:c r="N6" s="13" t="str">
        <x:v>Not Applied</x:v>
      </x:c>
      <x:c r="O6" s="13" t="str"/>
      <x:c r="P6" s="13" t="str"/>
    </x:row>
    <x:row r="7">
      <x:c r="A7" s="13" t="str">
        <x:v>🔥 Apply First</x:v>
      </x:c>
      <x:c r="B7" s="13" t="str">
        <x:v>FICO</x:v>
      </x:c>
      <x:c r="C7" s="13" t="str">
        <x:v>Analytic Compliance, Audit Analyst II</x:v>
      </x:c>
      <x:c r="D7" s="13" t="str">
        <x:v>Technology Risk / Audit</x:v>
      </x:c>
      <x:c r="E7" s="13" t="str">
        <x:v>Remote</x:v>
      </x:c>
      <x:c r="F7" s="13" t="str">
        <x:v>Entry Level</x:v>
      </x:c>
      <x:c r="G7" s="13" t="str">
        <x:v>Strong</x:v>
      </x:c>
      <x:c r="H7" s="13" t="str">
        <x:v>⚠️ Confirm exact-role sponsorship</x:v>
      </x:c>
      <x:c r="I7" s="13" t="str">
        <x:v>Entry-level; prior audit experience not required</x:v>
      </x:c>
      <x:c r="J7" s="13" t="str">
        <x:v>$70K–$110K</x:v>
      </x:c>
      <x:c r="K7" s="13" t="str">
        <x:v>https://www.indeed.com/</x:v>
      </x:c>
      <x:c r="L7" s="13" t="str">
        <x:v>https://www.google.com/search?q=FICO+%22Analytic+Compliance+Audit+Analyst+II%22+careers</x:v>
      </x:c>
      <x:c r="M7" s="13" t="str">
        <x:v>2026-10-26</x:v>
      </x:c>
      <x:c r="N7" s="13" t="str">
        <x:v>Not Applied</x:v>
      </x:c>
      <x:c r="O7" s="13" t="str"/>
      <x:c r="P7" s="13" t="str"/>
    </x:row>
    <x:row r="8">
      <x:c r="A8" s="13" t="str">
        <x:v>🔥 Apply First</x:v>
      </x:c>
      <x:c r="B8" s="13" t="str">
        <x:v>Bloomberg Industry Group</x:v>
      </x:c>
      <x:c r="C8" s="13" t="str">
        <x:v>Application Security Engineer I</x:v>
      </x:c>
      <x:c r="D8" s="13" t="str">
        <x:v>Application Security</x:v>
      </x:c>
      <x:c r="E8" s="13" t="str">
        <x:v>Arlington, VA / Remote eligible</x:v>
      </x:c>
      <x:c r="F8" s="13" t="str">
        <x:v>Engineer I</x:v>
      </x:c>
      <x:c r="G8" s="13" t="str">
        <x:v>Strong</x:v>
      </x:c>
      <x:c r="H8" s="13" t="str">
        <x:v>⚠️ Confirm exact-role sponsorship</x:v>
      </x:c>
      <x:c r="I8" s="13" t="str">
        <x:v>Engineer I; early-career AppSec</x:v>
      </x:c>
      <x:c r="J8" s="13" t="str">
        <x:v>Not listed</x:v>
      </x:c>
      <x:c r="K8" s="13" t="str">
        <x:v>https://github.com/HackedRico/2027-cyber-jobs</x:v>
      </x:c>
      <x:c r="L8" s="13" t="str">
        <x:v>https://www.google.com/search?q=Bloomberg+Industry+Group+%22Application+Security+Engineer+I%22+careers</x:v>
      </x:c>
      <x:c r="M8" s="13" t="str">
        <x:v>2026-10-26</x:v>
      </x:c>
      <x:c r="N8" s="13" t="str">
        <x:v>Not Applied</x:v>
      </x:c>
      <x:c r="O8" s="13" t="str"/>
      <x:c r="P8" s="13" t="str"/>
    </x:row>
    <x:row r="9">
      <x:c r="A9" s="13" t="str">
        <x:v>🔥 Apply First</x:v>
      </x:c>
      <x:c r="B9" s="13" t="str">
        <x:v>Team Cymru</x:v>
      </x:c>
      <x:c r="C9" s="13" t="str">
        <x:v>Threat Intelligence Analyst</x:v>
      </x:c>
      <x:c r="D9" s="13" t="str">
        <x:v>Threat Intelligence</x:v>
      </x:c>
      <x:c r="E9" s="13" t="str">
        <x:v>Lake Mary, FL / US</x:v>
      </x:c>
      <x:c r="F9" s="13" t="str">
        <x:v>Early Career</x:v>
      </x:c>
      <x:c r="G9" s="13" t="str">
        <x:v>Strong</x:v>
      </x:c>
      <x:c r="H9" s="13" t="str">
        <x:v>⚠️ Confirm exact-role sponsorship</x:v>
      </x:c>
      <x:c r="I9" s="13" t="str">
        <x:v>Dedicated CTI role at threat-intelligence company</x:v>
      </x:c>
      <x:c r="J9" s="13" t="str">
        <x:v>Not listed</x:v>
      </x:c>
      <x:c r="K9" s="13" t="str">
        <x:v>https://github.com/HackedRico/2027-cyber-jobs</x:v>
      </x:c>
      <x:c r="L9" s="13" t="str">
        <x:v>https://www.google.com/search?q=Team+Cymru+%22Threat+Intelligence+Analyst%22+careers</x:v>
      </x:c>
      <x:c r="M9" s="13" t="str">
        <x:v>2026-10-26</x:v>
      </x:c>
      <x:c r="N9" s="13" t="str">
        <x:v>Not Applied</x:v>
      </x:c>
      <x:c r="O9" s="13" t="str"/>
      <x:c r="P9" s="13" t="str"/>
    </x:row>
    <x:row r="10">
      <x:c r="A10" s="13" t="str">
        <x:v>🔥 Apply First</x:v>
      </x:c>
      <x:c r="B10" s="13" t="str">
        <x:v>Binary Defense</x:v>
      </x:c>
      <x:c r="C10" s="13" t="str">
        <x:v>Tier 1 SOC Analyst - REMOTE</x:v>
      </x:c>
      <x:c r="D10" s="13" t="str">
        <x:v>SOC / Detection</x:v>
      </x:c>
      <x:c r="E10" s="13" t="str">
        <x:v>Remote</x:v>
      </x:c>
      <x:c r="F10" s="13" t="str">
        <x:v>Tier 1</x:v>
      </x:c>
      <x:c r="G10" s="13" t="str">
        <x:v>Strong</x:v>
      </x:c>
      <x:c r="H10" s="13" t="str">
        <x:v>⚠️ Confirm exact-role sponsorship</x:v>
      </x:c>
      <x:c r="I10" s="13" t="str">
        <x:v>Tier 1 SOC; direct entry path into detection/IR</x:v>
      </x:c>
      <x:c r="J10" s="13" t="str">
        <x:v>$55.9K–$88.4K</x:v>
      </x:c>
      <x:c r="K10" s="13" t="str">
        <x:v>https://www.indeed.com/</x:v>
      </x:c>
      <x:c r="L10" s="13" t="str">
        <x:v>https://www.google.com/search?q=Binary+Defense+%22Tier+1+SOC+Analyst+Remote%22+careers</x:v>
      </x:c>
      <x:c r="M10" s="13" t="str">
        <x:v>2026-10-26</x:v>
      </x:c>
      <x:c r="N10" s="13" t="str">
        <x:v>Not Applied</x:v>
      </x:c>
      <x:c r="O10" s="13" t="str"/>
      <x:c r="P10" s="13" t="str"/>
    </x:row>
    <x:row r="11">
      <x:c r="A11" s="13" t="str">
        <x:v>🔥 Apply First</x:v>
      </x:c>
      <x:c r="B11" s="13" t="str">
        <x:v>Cencora</x:v>
      </x:c>
      <x:c r="C11" s="13" t="str">
        <x:v>Information Security Human Risk Analyst I</x:v>
      </x:c>
      <x:c r="D11" s="13" t="str">
        <x:v>Security Awareness / Human Risk</x:v>
      </x:c>
      <x:c r="E11" s="13" t="str">
        <x:v>United States</x:v>
      </x:c>
      <x:c r="F11" s="13" t="str">
        <x:v>Analyst I</x:v>
      </x:c>
      <x:c r="G11" s="13" t="str">
        <x:v>Strong</x:v>
      </x:c>
      <x:c r="H11" s="13" t="str">
        <x:v>⚠️ Confirm exact-role sponsorship</x:v>
      </x:c>
      <x:c r="I11" s="13" t="str">
        <x:v>Level-I information-security role</x:v>
      </x:c>
      <x:c r="J11" s="13" t="str">
        <x:v>$52K–$81K</x:v>
      </x:c>
      <x:c r="K11" s="13" t="str">
        <x:v>https://github.com/HackedRico/2027-cyber-jobs</x:v>
      </x:c>
      <x:c r="L11" s="13" t="str">
        <x:v>https://www.google.com/search?q=Cencora+%22Information+Security+Human+Risk+Analyst+I%22+careers</x:v>
      </x:c>
      <x:c r="M11" s="13" t="str">
        <x:v>2026-10-26</x:v>
      </x:c>
      <x:c r="N11" s="13" t="str">
        <x:v>Not Applied</x:v>
      </x:c>
      <x:c r="O11" s="13" t="str"/>
      <x:c r="P11" s="13" t="str"/>
    </x:row>
    <x:row r="12">
      <x:c r="A12" s="13" t="str">
        <x:v>🔥 Apply First</x:v>
      </x:c>
      <x:c r="B12" s="13" t="str">
        <x:v>Trail of Bits</x:v>
      </x:c>
      <x:c r="C12" s="13" t="str">
        <x:v>Security Engineer I, Application Security</x:v>
      </x:c>
      <x:c r="D12" s="13" t="str">
        <x:v>Application Security</x:v>
      </x:c>
      <x:c r="E12" s="13" t="str">
        <x:v>Remote US</x:v>
      </x:c>
      <x:c r="F12" s="13" t="str">
        <x:v>Engineer I</x:v>
      </x:c>
      <x:c r="G12" s="13" t="str">
        <x:v>Strong</x:v>
      </x:c>
      <x:c r="H12" s="13" t="str">
        <x:v>⚠️ Confirm exact-role sponsorship</x:v>
      </x:c>
      <x:c r="I12" s="13" t="str">
        <x:v>Security Engineer I; AppSec focus</x:v>
      </x:c>
      <x:c r="J12" s="13" t="str">
        <x:v>Not listed</x:v>
      </x:c>
      <x:c r="K12" s="13" t="str">
        <x:v>https://github.com/HackedRico/2027-cyber-jobs</x:v>
      </x:c>
      <x:c r="L12" s="13" t="str">
        <x:v>https://www.google.com/search?q=Trail+of+Bits+%22Security+Engineer+I+Application+Security%22+careers</x:v>
      </x:c>
      <x:c r="M12" s="13" t="str">
        <x:v>2026-10-26</x:v>
      </x:c>
      <x:c r="N12" s="13" t="str">
        <x:v>Not Applied</x:v>
      </x:c>
      <x:c r="O12" s="13" t="str"/>
      <x:c r="P12" s="13" t="str"/>
    </x:row>
    <x:row r="13">
      <x:c r="A13" s="13" t="str">
        <x:v>🔥 Apply First</x:v>
      </x:c>
      <x:c r="B13" s="13" t="str">
        <x:v>SailPoint</x:v>
      </x:c>
      <x:c r="C13" s="13" t="str">
        <x:v>Associate Security Software Engineer</x:v>
      </x:c>
      <x:c r="D13" s="13" t="str">
        <x:v>Security Engineering / IAM</x:v>
      </x:c>
      <x:c r="E13" s="13" t="str">
        <x:v>Remote US</x:v>
      </x:c>
      <x:c r="F13" s="13" t="str">
        <x:v>Associate</x:v>
      </x:c>
      <x:c r="G13" s="13" t="str">
        <x:v>Strong</x:v>
      </x:c>
      <x:c r="H13" s="13" t="str">
        <x:v>⚠️ Confirm exact-role sponsorship</x:v>
      </x:c>
      <x:c r="I13" s="13" t="str">
        <x:v>Associate-level security software engineering</x:v>
      </x:c>
      <x:c r="J13" s="13" t="str">
        <x:v>Not listed</x:v>
      </x:c>
      <x:c r="K13" s="13" t="str">
        <x:v>https://github.com/HackedRico/2027-cyber-jobs</x:v>
      </x:c>
      <x:c r="L13" s="13" t="str">
        <x:v>https://www.google.com/search?q=SailPoint+%22Associate+Security+Software+Engineer%22+careers</x:v>
      </x:c>
      <x:c r="M13" s="13" t="str">
        <x:v>2026-10-26</x:v>
      </x:c>
      <x:c r="N13" s="13" t="str">
        <x:v>Not Applied</x:v>
      </x:c>
      <x:c r="O13" s="13" t="str"/>
      <x:c r="P13" s="13" t="str"/>
    </x:row>
    <x:row r="14">
      <x:c r="A14" s="13" t="str">
        <x:v>🔥 Apply First</x:v>
      </x:c>
      <x:c r="B14" s="13" t="str">
        <x:v>Kyndryl</x:v>
      </x:c>
      <x:c r="C14" s="13" t="str">
        <x:v>Early Career Consult Program – Cybersecurity Engineer</x:v>
      </x:c>
      <x:c r="D14" s="13" t="str">
        <x:v>Security Engineering / Consulting</x:v>
      </x:c>
      <x:c r="E14" s="13" t="str">
        <x:v>Dallas / Frisco, TX</x:v>
      </x:c>
      <x:c r="F14" s="13" t="str">
        <x:v>Early Career Program</x:v>
      </x:c>
      <x:c r="G14" s="13" t="str">
        <x:v>Excellent</x:v>
      </x:c>
      <x:c r="H14" s="13" t="str">
        <x:v>⚠️ Confirm exact-role sponsorship</x:v>
      </x:c>
      <x:c r="I14" s="13" t="str">
        <x:v>Explicit early-career cybersecurity program</x:v>
      </x:c>
      <x:c r="J14" s="13" t="str">
        <x:v>Not listed</x:v>
      </x:c>
      <x:c r="K14" s="13" t="str">
        <x:v>https://github.com/HackedRico/2027-cyber-jobs</x:v>
      </x:c>
      <x:c r="L14" s="13" t="str">
        <x:v>https://www.google.com/search?q=Kyndryl+%22Early+Career+Consult+Program+Cybersecurity+Engineer%22+careers</x:v>
      </x:c>
      <x:c r="M14" s="13" t="str">
        <x:v>2026-10-26</x:v>
      </x:c>
      <x:c r="N14" s="13" t="str">
        <x:v>Not Applied</x:v>
      </x:c>
      <x:c r="O14" s="13" t="str"/>
      <x:c r="P14" s="13" t="str"/>
    </x:row>
    <x:row r="15">
      <x:c r="A15" s="13" t="str">
        <x:v>🔥 Apply First</x:v>
      </x:c>
      <x:c r="B15" s="13" t="str">
        <x:v>Kyndryl</x:v>
      </x:c>
      <x:c r="C15" s="13" t="str">
        <x:v>Early Career Consult Program – Cybersecurity Defense Associate</x:v>
      </x:c>
      <x:c r="D15" s="13" t="str">
        <x:v>SOC / Defense</x:v>
      </x:c>
      <x:c r="E15" s="13" t="str">
        <x:v>Dallas / Frisco, TX</x:v>
      </x:c>
      <x:c r="F15" s="13" t="str">
        <x:v>Early Career Program</x:v>
      </x:c>
      <x:c r="G15" s="13" t="str">
        <x:v>Excellent</x:v>
      </x:c>
      <x:c r="H15" s="13" t="str">
        <x:v>⚠️ Confirm exact-role sponsorship</x:v>
      </x:c>
      <x:c r="I15" s="13" t="str">
        <x:v>Explicit early-career cyber defense program</x:v>
      </x:c>
      <x:c r="J15" s="13" t="str">
        <x:v>Not listed</x:v>
      </x:c>
      <x:c r="K15" s="13" t="str">
        <x:v>https://github.com/HackedRico/2027-cyber-jobs</x:v>
      </x:c>
      <x:c r="L15" s="13" t="str">
        <x:v>https://www.google.com/search?q=Kyndryl+%22Early+Career+Consult+Program+Cybersecurity+Defense+Associate%22+careers</x:v>
      </x:c>
      <x:c r="M15" s="13" t="str">
        <x:v>2026-10-26</x:v>
      </x:c>
      <x:c r="N15" s="13" t="str">
        <x:v>Not Applied</x:v>
      </x:c>
      <x:c r="O15" s="13" t="str"/>
      <x:c r="P15" s="13" t="str"/>
    </x:row>
    <x:row r="16">
      <x:c r="A16" s="13" t="str">
        <x:v>🔥 Apply First</x:v>
      </x:c>
      <x:c r="B16" s="13" t="str">
        <x:v>Kyndryl</x:v>
      </x:c>
      <x:c r="C16" s="13" t="str">
        <x:v>Early Career Consult Program – Cybersecurity Infrastructure Associate</x:v>
      </x:c>
      <x:c r="D16" s="13" t="str">
        <x:v>Security Infrastructure</x:v>
      </x:c>
      <x:c r="E16" s="13" t="str">
        <x:v>Dallas / Frisco, TX</x:v>
      </x:c>
      <x:c r="F16" s="13" t="str">
        <x:v>Early Career Program</x:v>
      </x:c>
      <x:c r="G16" s="13" t="str">
        <x:v>Excellent</x:v>
      </x:c>
      <x:c r="H16" s="13" t="str">
        <x:v>⚠️ Confirm exact-role sponsorship</x:v>
      </x:c>
      <x:c r="I16" s="13" t="str">
        <x:v>Explicit early-career cybersecurity infrastructure program</x:v>
      </x:c>
      <x:c r="J16" s="13" t="str">
        <x:v>Not listed</x:v>
      </x:c>
      <x:c r="K16" s="13" t="str">
        <x:v>https://github.com/HackedRico/2027-cyber-jobs</x:v>
      </x:c>
      <x:c r="L16" s="13" t="str">
        <x:v>https://www.google.com/search?q=Kyndryl+%22Early+Career+Consult+Program+Cybersecurity+Infrastructure+Associate%22+careers</x:v>
      </x:c>
      <x:c r="M16" s="13" t="str">
        <x:v>2026-10-26</x:v>
      </x:c>
      <x:c r="N16" s="13" t="str">
        <x:v>Not Applied</x:v>
      </x:c>
      <x:c r="O16" s="13" t="str"/>
      <x:c r="P16" s="13" t="str"/>
    </x:row>
    <x:row r="17">
      <x:c r="A17" s="13" t="str">
        <x:v>⭐ Strong Fit</x:v>
      </x:c>
      <x:c r="B17" s="13" t="str">
        <x:v>Cisco</x:v>
      </x:c>
      <x:c r="C17" s="13" t="str">
        <x:v>Information Security Engineer II (Full-Time) – United States</x:v>
      </x:c>
      <x:c r="D17" s="13" t="str">
        <x:v>Security Engineering</x:v>
      </x:c>
      <x:c r="E17" s="13" t="str">
        <x:v>RTP, NC</x:v>
      </x:c>
      <x:c r="F17" s="13" t="str">
        <x:v>Early Career</x:v>
      </x:c>
      <x:c r="G17" s="13" t="str">
        <x:v>Strong</x:v>
      </x:c>
      <x:c r="H17" s="13" t="str">
        <x:v>⚠️ Confirm exact-role sponsorship</x:v>
      </x:c>
      <x:c r="I17" s="13" t="str">
        <x:v>Current early-career board; verify exact years before applying</x:v>
      </x:c>
      <x:c r="J17" s="13" t="str">
        <x:v>Not listed</x:v>
      </x:c>
      <x:c r="K17" s="13" t="str">
        <x:v>https://github.com/HackedRico/2027-cyber-jobs</x:v>
      </x:c>
      <x:c r="L17" s="13" t="str">
        <x:v>https://www.google.com/search?q=Cisco+%22Information+Security+Engineer+II+Full-Time+United+States%22+careers</x:v>
      </x:c>
      <x:c r="M17" s="13" t="str">
        <x:v>2026-10-26</x:v>
      </x:c>
      <x:c r="N17" s="13" t="str">
        <x:v>Not Applied</x:v>
      </x:c>
      <x:c r="O17" s="13" t="str"/>
      <x:c r="P17" s="13" t="str"/>
    </x:row>
    <x:row r="18">
      <x:c r="A18" s="13" t="str">
        <x:v>⭐ Strong Fit</x:v>
      </x:c>
      <x:c r="B18" s="13" t="str">
        <x:v>Microsoft</x:v>
      </x:c>
      <x:c r="C18" s="13" t="str">
        <x:v>Security Analyst II</x:v>
      </x:c>
      <x:c r="D18" s="13" t="str">
        <x:v>Security Operations</x:v>
      </x:c>
      <x:c r="E18" s="13" t="str">
        <x:v>Redmond, WA</x:v>
      </x:c>
      <x:c r="F18" s="13" t="str">
        <x:v>Early Career</x:v>
      </x:c>
      <x:c r="G18" s="13" t="str">
        <x:v>Strong</x:v>
      </x:c>
      <x:c r="H18" s="13" t="str">
        <x:v>⚠️ Confirm exact-role sponsorship</x:v>
      </x:c>
      <x:c r="I18" s="13" t="str">
        <x:v>Current early-career listing</x:v>
      </x:c>
      <x:c r="J18" s="13" t="str">
        <x:v>Not listed</x:v>
      </x:c>
      <x:c r="K18" s="13" t="str">
        <x:v>https://github.com/HackedRico/2027-cyber-jobs</x:v>
      </x:c>
      <x:c r="L18" s="13" t="str">
        <x:v>https://www.google.com/search?q=Microsoft+%22Security+Analyst+II+Redmond%22+careers</x:v>
      </x:c>
      <x:c r="M18" s="13" t="str">
        <x:v>2026-10-26</x:v>
      </x:c>
      <x:c r="N18" s="13" t="str">
        <x:v>Not Applied</x:v>
      </x:c>
      <x:c r="O18" s="13" t="str"/>
      <x:c r="P18" s="13" t="str"/>
    </x:row>
    <x:row r="19">
      <x:c r="A19" s="13" t="str">
        <x:v>⭐ Strong Fit</x:v>
      </x:c>
      <x:c r="B19" s="13" t="str">
        <x:v>Microsoft</x:v>
      </x:c>
      <x:c r="C19" s="13" t="str">
        <x:v>Security Engineer II (Services)</x:v>
      </x:c>
      <x:c r="D19" s="13" t="str">
        <x:v>Security Engineering</x:v>
      </x:c>
      <x:c r="E19" s="13" t="str">
        <x:v>United States</x:v>
      </x:c>
      <x:c r="F19" s="13" t="str">
        <x:v>Early Career</x:v>
      </x:c>
      <x:c r="G19" s="13" t="str">
        <x:v>Strong</x:v>
      </x:c>
      <x:c r="H19" s="13" t="str">
        <x:v>⚠️ Confirm exact-role sponsorship</x:v>
      </x:c>
      <x:c r="I19" s="13" t="str">
        <x:v>Current early-career listing</x:v>
      </x:c>
      <x:c r="J19" s="13" t="str">
        <x:v>Not listed</x:v>
      </x:c>
      <x:c r="K19" s="13" t="str">
        <x:v>https://github.com/HackedRico/2027-cyber-jobs</x:v>
      </x:c>
      <x:c r="L19" s="13" t="str">
        <x:v>https://www.google.com/search?q=Microsoft+%22Security+Engineer+II+Services%22+careers</x:v>
      </x:c>
      <x:c r="M19" s="13" t="str">
        <x:v>2026-10-26</x:v>
      </x:c>
      <x:c r="N19" s="13" t="str">
        <x:v>Not Applied</x:v>
      </x:c>
      <x:c r="O19" s="13" t="str"/>
      <x:c r="P19" s="13" t="str"/>
    </x:row>
    <x:row r="20">
      <x:c r="A20" s="13" t="str">
        <x:v>⭐ Strong Fit</x:v>
      </x:c>
      <x:c r="B20" s="13" t="str">
        <x:v>Microsoft</x:v>
      </x:c>
      <x:c r="C20" s="13" t="str">
        <x:v>AI Security Engineer</x:v>
      </x:c>
      <x:c r="D20" s="13" t="str">
        <x:v>AI Security</x:v>
      </x:c>
      <x:c r="E20" s="13" t="str">
        <x:v>United States</x:v>
      </x:c>
      <x:c r="F20" s="13" t="str">
        <x:v>Early Career</x:v>
      </x:c>
      <x:c r="G20" s="13" t="str">
        <x:v>Strong</x:v>
      </x:c>
      <x:c r="H20" s="13" t="str">
        <x:v>⚠️ Confirm exact-role sponsorship</x:v>
      </x:c>
      <x:c r="I20" s="13" t="str">
        <x:v>AI security role on current early-career board</x:v>
      </x:c>
      <x:c r="J20" s="13" t="str">
        <x:v>Not listed</x:v>
      </x:c>
      <x:c r="K20" s="13" t="str">
        <x:v>https://github.com/HackedRico/2027-cyber-jobs</x:v>
      </x:c>
      <x:c r="L20" s="13" t="str">
        <x:v>https://www.google.com/search?q=Microsoft+%22AI+Security+Engineer%22+careers</x:v>
      </x:c>
      <x:c r="M20" s="13" t="str">
        <x:v>2026-10-26</x:v>
      </x:c>
      <x:c r="N20" s="13" t="str">
        <x:v>Not Applied</x:v>
      </x:c>
      <x:c r="O20" s="13" t="str"/>
      <x:c r="P20" s="13" t="str"/>
    </x:row>
    <x:row r="21">
      <x:c r="A21" s="13" t="str">
        <x:v>⭐ Strong Fit</x:v>
      </x:c>
      <x:c r="B21" s="13" t="str">
        <x:v>Microsoft</x:v>
      </x:c>
      <x:c r="C21" s="13" t="str">
        <x:v>Software Engineer 2 - Microsoft Red Team</x:v>
      </x:c>
      <x:c r="D21" s="13" t="str">
        <x:v>Offensive Security</x:v>
      </x:c>
      <x:c r="E21" s="13" t="str">
        <x:v>Redmond, WA</x:v>
      </x:c>
      <x:c r="F21" s="13" t="str">
        <x:v>Early Career</x:v>
      </x:c>
      <x:c r="G21" s="13" t="str">
        <x:v>Strong</x:v>
      </x:c>
      <x:c r="H21" s="13" t="str">
        <x:v>⚠️ Confirm exact-role sponsorship</x:v>
      </x:c>
      <x:c r="I21" s="13" t="str">
        <x:v>Red-team engineering role on current early-career board</x:v>
      </x:c>
      <x:c r="J21" s="13" t="str">
        <x:v>Not listed</x:v>
      </x:c>
      <x:c r="K21" s="13" t="str">
        <x:v>https://github.com/HackedRico/2027-cyber-jobs</x:v>
      </x:c>
      <x:c r="L21" s="13" t="str">
        <x:v>https://www.google.com/search?q=Microsoft+%22Software+Engineer+2+Microsoft+Red+Team%22+careers</x:v>
      </x:c>
      <x:c r="M21" s="13" t="str">
        <x:v>2026-10-26</x:v>
      </x:c>
      <x:c r="N21" s="13" t="str">
        <x:v>Not Applied</x:v>
      </x:c>
      <x:c r="O21" s="13" t="str"/>
      <x:c r="P21" s="13" t="str"/>
    </x:row>
    <x:row r="22">
      <x:c r="A22" s="13" t="str">
        <x:v>⭐ Strong Fit</x:v>
      </x:c>
      <x:c r="B22" s="13" t="str">
        <x:v>GuidePoint Security</x:v>
      </x:c>
      <x:c r="C22" s="13" t="str">
        <x:v>Associate Cloud Security Engineer - AWS</x:v>
      </x:c>
      <x:c r="D22" s="13" t="str">
        <x:v>Cloud Security</x:v>
      </x:c>
      <x:c r="E22" s="13" t="str">
        <x:v>Remote US</x:v>
      </x:c>
      <x:c r="F22" s="13" t="str">
        <x:v>Associate</x:v>
      </x:c>
      <x:c r="G22" s="13" t="str">
        <x:v>Strong</x:v>
      </x:c>
      <x:c r="H22" s="13" t="str">
        <x:v>⚠️ Confirm exact-role sponsorship</x:v>
      </x:c>
      <x:c r="I22" s="13" t="str">
        <x:v>Associate cloud security role</x:v>
      </x:c>
      <x:c r="J22" s="13" t="str">
        <x:v>Not listed</x:v>
      </x:c>
      <x:c r="K22" s="13" t="str">
        <x:v>https://github.com/HackedRico/2027-cyber-jobs</x:v>
      </x:c>
      <x:c r="L22" s="13" t="str">
        <x:v>https://www.google.com/search?q=GuidePoint+Security+%22Associate+Cloud+Security+Engineer+AWS%22+careers</x:v>
      </x:c>
      <x:c r="M22" s="13" t="str">
        <x:v>2026-10-26</x:v>
      </x:c>
      <x:c r="N22" s="13" t="str">
        <x:v>Not Applied</x:v>
      </x:c>
      <x:c r="O22" s="13" t="str"/>
      <x:c r="P22" s="13" t="str"/>
    </x:row>
    <x:row r="23">
      <x:c r="A23" s="13" t="str">
        <x:v>⭐ Strong Fit</x:v>
      </x:c>
      <x:c r="B23" s="13" t="str">
        <x:v>ID.me</x:v>
      </x:c>
      <x:c r="C23" s="13" t="str">
        <x:v>SOC Analyst</x:v>
      </x:c>
      <x:c r="D23" s="13" t="str">
        <x:v>SOC / Detection</x:v>
      </x:c>
      <x:c r="E23" s="13" t="str">
        <x:v>McLean, VA</x:v>
      </x:c>
      <x:c r="F23" s="13" t="str">
        <x:v>Early Career</x:v>
      </x:c>
      <x:c r="G23" s="13" t="str">
        <x:v>Strong</x:v>
      </x:c>
      <x:c r="H23" s="13" t="str">
        <x:v>⚠️ Confirm exact-role sponsorship</x:v>
      </x:c>
      <x:c r="I23" s="13" t="str">
        <x:v>Current SOC role at identity-security company</x:v>
      </x:c>
      <x:c r="J23" s="13" t="str">
        <x:v>Not listed</x:v>
      </x:c>
      <x:c r="K23" s="13" t="str">
        <x:v>https://github.com/HackedRico/2027-cyber-jobs</x:v>
      </x:c>
      <x:c r="L23" s="13" t="str">
        <x:v>https://www.google.com/search?q=ID.me+%22SOC+Analyst%22+careers</x:v>
      </x:c>
      <x:c r="M23" s="13" t="str">
        <x:v>2026-10-26</x:v>
      </x:c>
      <x:c r="N23" s="13" t="str">
        <x:v>Not Applied</x:v>
      </x:c>
      <x:c r="O23" s="13" t="str"/>
      <x:c r="P23" s="13" t="str"/>
    </x:row>
    <x:row r="24">
      <x:c r="A24" s="13" t="str">
        <x:v>⭐ Strong Fit</x:v>
      </x:c>
      <x:c r="B24" s="13" t="str">
        <x:v>Mastercard</x:v>
      </x:c>
      <x:c r="C24" s="13" t="str">
        <x:v>Security Monitoring and Response Analyst II</x:v>
      </x:c>
      <x:c r="D24" s="13" t="str">
        <x:v>SOC / Incident Response</x:v>
      </x:c>
      <x:c r="E24" s="13" t="str">
        <x:v>O'Fallon, MO</x:v>
      </x:c>
      <x:c r="F24" s="13" t="str">
        <x:v>Early Career</x:v>
      </x:c>
      <x:c r="G24" s="13" t="str">
        <x:v>Strong</x:v>
      </x:c>
      <x:c r="H24" s="13" t="str">
        <x:v>⚠️ Confirm exact-role sponsorship</x:v>
      </x:c>
      <x:c r="I24" s="13" t="str">
        <x:v>Monitoring/response role on current early-career board</x:v>
      </x:c>
      <x:c r="J24" s="13" t="str">
        <x:v>Not listed</x:v>
      </x:c>
      <x:c r="K24" s="13" t="str">
        <x:v>https://github.com/HackedRico/2027-cyber-jobs</x:v>
      </x:c>
      <x:c r="L24" s="13" t="str">
        <x:v>https://www.google.com/search?q=Mastercard+%22Security+Monitoring+and+Response+Analyst+II%22+careers</x:v>
      </x:c>
      <x:c r="M24" s="13" t="str">
        <x:v>2026-10-26</x:v>
      </x:c>
      <x:c r="N24" s="13" t="str">
        <x:v>Not Applied</x:v>
      </x:c>
      <x:c r="O24" s="13" t="str"/>
      <x:c r="P24" s="13" t="str"/>
    </x:row>
    <x:row r="25">
      <x:c r="A25" s="13" t="str">
        <x:v>⭐ Strong Fit</x:v>
      </x:c>
      <x:c r="B25" s="13" t="str">
        <x:v>HPE</x:v>
      </x:c>
      <x:c r="C25" s="13" t="str">
        <x:v>Engineer II – Cybersecurity R&amp;D</x:v>
      </x:c>
      <x:c r="D25" s="13" t="str">
        <x:v>Security Engineering / R&amp;D</x:v>
      </x:c>
      <x:c r="E25" s="13" t="str">
        <x:v>San Juan, PR</x:v>
      </x:c>
      <x:c r="F25" s="13" t="str">
        <x:v>Early Career</x:v>
      </x:c>
      <x:c r="G25" s="13" t="str">
        <x:v>Strong</x:v>
      </x:c>
      <x:c r="H25" s="13" t="str">
        <x:v>⚠️ Confirm exact-role sponsorship</x:v>
      </x:c>
      <x:c r="I25" s="13" t="str">
        <x:v>Cybersecurity R&amp;D role on current early-career board</x:v>
      </x:c>
      <x:c r="J25" s="13" t="str">
        <x:v>Not listed</x:v>
      </x:c>
      <x:c r="K25" s="13" t="str">
        <x:v>https://github.com/HackedRico/2027-cyber-jobs</x:v>
      </x:c>
      <x:c r="L25" s="13" t="str">
        <x:v>https://www.google.com/search?q=HPE+%22Engineer+II+Cybersecurity+R%26D%22+careers</x:v>
      </x:c>
      <x:c r="M25" s="13" t="str">
        <x:v>2026-10-26</x:v>
      </x:c>
      <x:c r="N25" s="13" t="str">
        <x:v>Not Applied</x:v>
      </x:c>
      <x:c r="O25" s="13" t="str"/>
      <x:c r="P25" s="13" t="str"/>
    </x:row>
    <x:row r="26">
      <x:c r="A26" s="13" t="str">
        <x:v>⭐ Strong Fit</x:v>
      </x:c>
      <x:c r="B26" s="13" t="str">
        <x:v>Goldman Sachs</x:v>
      </x:c>
      <x:c r="C26" s="13" t="str">
        <x:v>Model Risk Management, AI Risk, Analyst/Associate</x:v>
      </x:c>
      <x:c r="D26" s="13" t="str">
        <x:v>AI Risk / GRC</x:v>
      </x:c>
      <x:c r="E26" s="13" t="str">
        <x:v>Dallas, TX</x:v>
      </x:c>
      <x:c r="F26" s="13" t="str">
        <x:v>Analyst / Associate</x:v>
      </x:c>
      <x:c r="G26" s="13" t="str">
        <x:v>Strong</x:v>
      </x:c>
      <x:c r="H26" s="13" t="str">
        <x:v>⚠️ Confirm exact-role sponsorship</x:v>
      </x:c>
      <x:c r="I26" s="13" t="str">
        <x:v>AI risk role; current early-career listing</x:v>
      </x:c>
      <x:c r="J26" s="13" t="str">
        <x:v>Not listed</x:v>
      </x:c>
      <x:c r="K26" s="13" t="str">
        <x:v>https://github.com/HackedRico/2027-cyber-jobs</x:v>
      </x:c>
      <x:c r="L26" s="13" t="str">
        <x:v>https://www.google.com/search?q=Goldman+Sachs+%22Model+Risk+Management+AI+Risk+Dallas+Analyst+Associate%22+careers</x:v>
      </x:c>
      <x:c r="M26" s="13" t="str">
        <x:v>2026-10-26</x:v>
      </x:c>
      <x:c r="N26" s="13" t="str">
        <x:v>Not Applied</x:v>
      </x:c>
      <x:c r="O26" s="13" t="str"/>
      <x:c r="P26" s="13" t="str"/>
    </x:row>
    <x:row r="27">
      <x:c r="A27" s="13" t="str">
        <x:v>⭐ Strong Fit</x:v>
      </x:c>
      <x:c r="B27" s="13" t="str">
        <x:v>NVIDIA</x:v>
      </x:c>
      <x:c r="C27" s="13" t="str">
        <x:v>Machine Learning Engineer, AI Safety</x:v>
      </x:c>
      <x:c r="D27" s="13" t="str">
        <x:v>AI Security &amp; Safety</x:v>
      </x:c>
      <x:c r="E27" s="13" t="str">
        <x:v>Santa Clara, CA / Remote CA</x:v>
      </x:c>
      <x:c r="F27" s="13" t="str">
        <x:v>Early Career</x:v>
      </x:c>
      <x:c r="G27" s="13" t="str">
        <x:v>Strong</x:v>
      </x:c>
      <x:c r="H27" s="13" t="str">
        <x:v>⚠️ Confirm exact-role sponsorship</x:v>
      </x:c>
      <x:c r="I27" s="13" t="str">
        <x:v>AI safety role on current early-career board</x:v>
      </x:c>
      <x:c r="J27" s="13" t="str">
        <x:v>Not listed</x:v>
      </x:c>
      <x:c r="K27" s="13" t="str">
        <x:v>https://github.com/HackedRico/2027-cyber-jobs</x:v>
      </x:c>
      <x:c r="L27" s="13" t="str">
        <x:v>https://www.google.com/search?q=NVIDIA+%22Machine+Learning+Engineer+AI+Safety%22+careers</x:v>
      </x:c>
      <x:c r="M27" s="13" t="str">
        <x:v>2026-10-26</x:v>
      </x:c>
      <x:c r="N27" s="13" t="str">
        <x:v>Not Applied</x:v>
      </x:c>
      <x:c r="O27" s="13" t="str"/>
      <x:c r="P27" s="13" t="str"/>
    </x:row>
    <x:row r="28">
      <x:c r="A28" s="13" t="str">
        <x:v>⭐ Strong Fit</x:v>
      </x:c>
      <x:c r="B28" s="13" t="str">
        <x:v>Forward Financing</x:v>
      </x:c>
      <x:c r="C28" s="13" t="str">
        <x:v>GRC Analyst</x:v>
      </x:c>
      <x:c r="D28" s="13" t="str">
        <x:v>GRC / Compliance</x:v>
      </x:c>
      <x:c r="E28" s="13" t="str">
        <x:v>Boston / US</x:v>
      </x:c>
      <x:c r="F28" s="13" t="str">
        <x:v>Early Career</x:v>
      </x:c>
      <x:c r="G28" s="13" t="str">
        <x:v>Strong</x:v>
      </x:c>
      <x:c r="H28" s="13" t="str">
        <x:v>⚠️ Confirm exact-role sponsorship</x:v>
      </x:c>
      <x:c r="I28" s="13" t="str">
        <x:v>1–2+ years; fintech GRC</x:v>
      </x:c>
      <x:c r="J28" s="13" t="str">
        <x:v>$85K–$108K</x:v>
      </x:c>
      <x:c r="K28" s="13" t="str">
        <x:v>https://www.ziprecruiter.com/</x:v>
      </x:c>
      <x:c r="L28" s="13" t="str">
        <x:v>https://www.google.com/search?q=Forward+Financing+%22GRC+Analyst%22+careers</x:v>
      </x:c>
      <x:c r="M28" s="13" t="str">
        <x:v>2026-10-26</x:v>
      </x:c>
      <x:c r="N28" s="13" t="str">
        <x:v>Not Applied</x:v>
      </x:c>
      <x:c r="O28" s="13" t="str"/>
      <x:c r="P28" s="13" t="str"/>
    </x:row>
    <x:row r="29">
      <x:c r="A29" s="13" t="str">
        <x:v>⭐ Strong Fit</x:v>
      </x:c>
      <x:c r="B29" s="13" t="str">
        <x:v>Allied Benefit Systems</x:v>
      </x:c>
      <x:c r="C29" s="13" t="str">
        <x:v>GRC Analyst</x:v>
      </x:c>
      <x:c r="D29" s="13" t="str">
        <x:v>GRC / Compliance</x:v>
      </x:c>
      <x:c r="E29" s="13" t="str">
        <x:v>Remote</x:v>
      </x:c>
      <x:c r="F29" s="13" t="str">
        <x:v>Early Career</x:v>
      </x:c>
      <x:c r="G29" s="13" t="str">
        <x:v>Strong</x:v>
      </x:c>
      <x:c r="H29" s="13" t="str">
        <x:v>⚠️ Confirm exact-role sponsorship</x:v>
      </x:c>
      <x:c r="I29" s="13" t="str">
        <x:v>Current GRC opening</x:v>
      </x:c>
      <x:c r="J29" s="13" t="str">
        <x:v>$75K–$80K</x:v>
      </x:c>
      <x:c r="K29" s="13" t="str">
        <x:v>https://www.indeed.com/</x:v>
      </x:c>
      <x:c r="L29" s="13" t="str">
        <x:v>https://www.google.com/search?q=Allied+Benefit+Systems+%22GRC+Analyst%22+careers</x:v>
      </x:c>
      <x:c r="M29" s="13" t="str">
        <x:v>2026-10-26</x:v>
      </x:c>
      <x:c r="N29" s="13" t="str">
        <x:v>Not Applied</x:v>
      </x:c>
      <x:c r="O29" s="13" t="str"/>
      <x:c r="P29" s="13" t="str"/>
    </x:row>
    <x:row r="30">
      <x:c r="A30" s="13" t="str">
        <x:v>⭐ Strong Fit</x:v>
      </x:c>
      <x:c r="B30" s="13" t="str">
        <x:v>Red Balloon Security</x:v>
      </x:c>
      <x:c r="C30" s="13" t="str">
        <x:v>Security Researcher</x:v>
      </x:c>
      <x:c r="D30" s="13" t="str">
        <x:v>Security Research / Reverse Engineering</x:v>
      </x:c>
      <x:c r="E30" s="13" t="str">
        <x:v>New York City Metro</x:v>
      </x:c>
      <x:c r="F30" s="13" t="str">
        <x:v>Early Career</x:v>
      </x:c>
      <x:c r="G30" s="13" t="str">
        <x:v>Strong</x:v>
      </x:c>
      <x:c r="H30" s="13" t="str">
        <x:v>⚠️ Confirm exact-role sponsorship</x:v>
      </x:c>
      <x:c r="I30" s="13" t="str">
        <x:v>Security research company; good RE/security research overlap</x:v>
      </x:c>
      <x:c r="J30" s="13" t="str">
        <x:v>$100K–$150K</x:v>
      </x:c>
      <x:c r="K30" s="13" t="str">
        <x:v>https://github.com/HackedRico/2027-cyber-jobs</x:v>
      </x:c>
      <x:c r="L30" s="13" t="str">
        <x:v>https://www.google.com/search?q=Red+Balloon+Security+%22Security+Researcher%22+careers</x:v>
      </x:c>
      <x:c r="M30" s="13" t="str">
        <x:v>2026-10-26</x:v>
      </x:c>
      <x:c r="N30" s="13" t="str">
        <x:v>Not Applied</x:v>
      </x:c>
      <x:c r="O30" s="13" t="str"/>
      <x:c r="P30" s="13" t="str"/>
    </x:row>
    <x:row r="31">
      <x:c r="A31" s="13" t="str">
        <x:v>⭐ Strong Fit</x:v>
      </x:c>
      <x:c r="B31" s="13" t="str">
        <x:v>Recorded Future</x:v>
      </x:c>
      <x:c r="C31" s="13" t="str">
        <x:v>Fraud Analyst</x:v>
      </x:c>
      <x:c r="D31" s="13" t="str">
        <x:v>Threat Intelligence / Fraud</x:v>
      </x:c>
      <x:c r="E31" s="13" t="str">
        <x:v>Washington, DC</x:v>
      </x:c>
      <x:c r="F31" s="13" t="str">
        <x:v>Early Career</x:v>
      </x:c>
      <x:c r="G31" s="13" t="str">
        <x:v>Strong</x:v>
      </x:c>
      <x:c r="H31" s="13" t="str">
        <x:v>⚠️ Confirm exact-role sponsorship</x:v>
      </x:c>
      <x:c r="I31" s="13" t="str">
        <x:v>Threat-intelligence company; current early-career role</x:v>
      </x:c>
      <x:c r="J31" s="13" t="str">
        <x:v>Not listed</x:v>
      </x:c>
      <x:c r="K31" s="13" t="str">
        <x:v>https://github.com/HackedRico/2027-cyber-jobs</x:v>
      </x:c>
      <x:c r="L31" s="13" t="str">
        <x:v>https://www.google.com/search?q=Recorded+Future+%22Fraud+Analyst+Washington+DC%22+careers</x:v>
      </x:c>
      <x:c r="M31" s="13" t="str">
        <x:v>2026-10-26</x:v>
      </x:c>
      <x:c r="N31" s="13" t="str">
        <x:v>Not Applied</x:v>
      </x:c>
      <x:c r="O31" s="13" t="str"/>
      <x:c r="P31" s="13" t="str"/>
    </x:row>
    <x:row r="32">
      <x:c r="A32" s="13" t="str">
        <x:v>⭐ Strong Fit</x:v>
      </x:c>
      <x:c r="B32" s="13" t="str">
        <x:v>Recorded Future</x:v>
      </x:c>
      <x:c r="C32" s="13" t="str">
        <x:v>Fraud Analyst</x:v>
      </x:c>
      <x:c r="D32" s="13" t="str">
        <x:v>Threat Intelligence / Fraud</x:v>
      </x:c>
      <x:c r="E32" s="13" t="str">
        <x:v>New York, NY</x:v>
      </x:c>
      <x:c r="F32" s="13" t="str">
        <x:v>Early Career</x:v>
      </x:c>
      <x:c r="G32" s="13" t="str">
        <x:v>Strong</x:v>
      </x:c>
      <x:c r="H32" s="13" t="str">
        <x:v>⚠️ Confirm exact-role sponsorship</x:v>
      </x:c>
      <x:c r="I32" s="13" t="str">
        <x:v>Threat-intelligence company; current early-career role</x:v>
      </x:c>
      <x:c r="J32" s="13" t="str">
        <x:v>Not listed</x:v>
      </x:c>
      <x:c r="K32" s="13" t="str">
        <x:v>https://github.com/HackedRico/2027-cyber-jobs</x:v>
      </x:c>
      <x:c r="L32" s="13" t="str">
        <x:v>https://www.google.com/search?q=Recorded+Future+%22Fraud+Analyst+New+York%22+careers</x:v>
      </x:c>
      <x:c r="M32" s="13" t="str">
        <x:v>2026-10-26</x:v>
      </x:c>
      <x:c r="N32" s="13" t="str">
        <x:v>Not Applied</x:v>
      </x:c>
      <x:c r="O32" s="13" t="str"/>
      <x:c r="P32" s="13" t="str"/>
    </x:row>
    <x:row r="33">
      <x:c r="A33" s="13" t="str">
        <x:v>⭐ Strong Fit</x:v>
      </x:c>
      <x:c r="B33" s="13" t="str">
        <x:v>Recorded Future</x:v>
      </x:c>
      <x:c r="C33" s="13" t="str">
        <x:v>Fraud Analyst</x:v>
      </x:c>
      <x:c r="D33" s="13" t="str">
        <x:v>Threat Intelligence / Fraud</x:v>
      </x:c>
      <x:c r="E33" s="13" t="str">
        <x:v>Boston, MA</x:v>
      </x:c>
      <x:c r="F33" s="13" t="str">
        <x:v>Early Career</x:v>
      </x:c>
      <x:c r="G33" s="13" t="str">
        <x:v>Strong</x:v>
      </x:c>
      <x:c r="H33" s="13" t="str">
        <x:v>⚠️ Confirm exact-role sponsorship</x:v>
      </x:c>
      <x:c r="I33" s="13" t="str">
        <x:v>Threat-intelligence company; current early-career role</x:v>
      </x:c>
      <x:c r="J33" s="13" t="str">
        <x:v>Not listed</x:v>
      </x:c>
      <x:c r="K33" s="13" t="str">
        <x:v>https://github.com/HackedRico/2027-cyber-jobs</x:v>
      </x:c>
      <x:c r="L33" s="13" t="str">
        <x:v>https://www.google.com/search?q=Recorded+Future+%22Fraud+Analyst+Boston%22+careers</x:v>
      </x:c>
      <x:c r="M33" s="13" t="str">
        <x:v>2026-10-26</x:v>
      </x:c>
      <x:c r="N33" s="13" t="str">
        <x:v>Not Applied</x:v>
      </x:c>
      <x:c r="O33" s="13" t="str"/>
      <x:c r="P33" s="13" t="str"/>
    </x:row>
    <x:row r="34">
      <x:c r="A34" s="13" t="str">
        <x:v>⭐ Strong Fit</x:v>
      </x:c>
      <x:c r="B34" s="13" t="str">
        <x:v>Abnormal AI</x:v>
      </x:c>
      <x:c r="C34" s="13" t="str">
        <x:v>Software Engineer II - Insider Risk</x:v>
      </x:c>
      <x:c r="D34" s="13" t="str">
        <x:v>Insider Risk / Security Engineering</x:v>
      </x:c>
      <x:c r="E34" s="13" t="str">
        <x:v>San Francisco, CA (Hybrid)</x:v>
      </x:c>
      <x:c r="F34" s="13" t="str">
        <x:v>Early Career</x:v>
      </x:c>
      <x:c r="G34" s="13" t="str">
        <x:v>Strong</x:v>
      </x:c>
      <x:c r="H34" s="13" t="str">
        <x:v>⚠️ Confirm exact-role sponsorship</x:v>
      </x:c>
      <x:c r="I34" s="13" t="str">
        <x:v>Security-focused insider-risk engineering</x:v>
      </x:c>
      <x:c r="J34" s="13" t="str">
        <x:v>Not listed</x:v>
      </x:c>
      <x:c r="K34" s="13" t="str">
        <x:v>https://github.com/HackedRico/2027-cyber-jobs</x:v>
      </x:c>
      <x:c r="L34" s="13" t="str">
        <x:v>https://www.google.com/search?q=Abnormal+AI+%22Software+Engineer+II+Insider+Risk%22+careers</x:v>
      </x:c>
      <x:c r="M34" s="13" t="str">
        <x:v>2026-10-26</x:v>
      </x:c>
      <x:c r="N34" s="13" t="str">
        <x:v>Not Applied</x:v>
      </x:c>
      <x:c r="O34" s="13" t="str"/>
      <x:c r="P34" s="13" t="str"/>
    </x:row>
    <x:row r="35">
      <x:c r="A35" s="13" t="str">
        <x:v>⭐ Strong Fit</x:v>
      </x:c>
      <x:c r="B35" s="13" t="str">
        <x:v>Corelight</x:v>
      </x:c>
      <x:c r="C35" s="13" t="str">
        <x:v>Associate Escalation Engineer</x:v>
      </x:c>
      <x:c r="D35" s="13" t="str">
        <x:v>Network Security</x:v>
      </x:c>
      <x:c r="E35" s="13" t="str">
        <x:v>United States</x:v>
      </x:c>
      <x:c r="F35" s="13" t="str">
        <x:v>Associate</x:v>
      </x:c>
      <x:c r="G35" s="13" t="str">
        <x:v>Strong</x:v>
      </x:c>
      <x:c r="H35" s="13" t="str">
        <x:v>⚠️ Confirm exact-role sponsorship</x:v>
      </x:c>
      <x:c r="I35" s="13" t="str">
        <x:v>Associate role at network-security company</x:v>
      </x:c>
      <x:c r="J35" s="13" t="str">
        <x:v>Not listed</x:v>
      </x:c>
      <x:c r="K35" s="13" t="str">
        <x:v>https://github.com/HackedRico/2027-cyber-jobs</x:v>
      </x:c>
      <x:c r="L35" s="13" t="str">
        <x:v>https://www.google.com/search?q=Corelight+%22Associate+Escalation+Engineer%22+careers</x:v>
      </x:c>
      <x:c r="M35" s="13" t="str">
        <x:v>2026-10-26</x:v>
      </x:c>
      <x:c r="N35" s="13" t="str">
        <x:v>Not Applied</x:v>
      </x:c>
      <x:c r="O35" s="13" t="str"/>
      <x:c r="P35" s="13" t="str"/>
    </x:row>
    <x:row r="36">
      <x:c r="A36" s="13" t="str">
        <x:v>⭐ Strong Fit</x:v>
      </x:c>
      <x:c r="B36" s="13" t="str">
        <x:v>Salt Security</x:v>
      </x:c>
      <x:c r="C36" s="13" t="str">
        <x:v>Technical Support Engineer</x:v>
      </x:c>
      <x:c r="D36" s="13" t="str">
        <x:v>API Security</x:v>
      </x:c>
      <x:c r="E36" s="13" t="str">
        <x:v>Western US</x:v>
      </x:c>
      <x:c r="F36" s="13" t="str">
        <x:v>Early Career</x:v>
      </x:c>
      <x:c r="G36" s="13" t="str">
        <x:v>Moderate</x:v>
      </x:c>
      <x:c r="H36" s="13" t="str">
        <x:v>⚠️ Confirm exact-role sponsorship</x:v>
      </x:c>
      <x:c r="I36" s="13" t="str">
        <x:v>Technical role at API-security company</x:v>
      </x:c>
      <x:c r="J36" s="13" t="str">
        <x:v>Not listed</x:v>
      </x:c>
      <x:c r="K36" s="13" t="str">
        <x:v>https://github.com/HackedRico/2027-cyber-jobs</x:v>
      </x:c>
      <x:c r="L36" s="13" t="str">
        <x:v>https://www.google.com/search?q=Salt+Security+%22Technical+Support+Engineer%22+careers</x:v>
      </x:c>
      <x:c r="M36" s="13" t="str">
        <x:v>2026-10-26</x:v>
      </x:c>
      <x:c r="N36" s="13" t="str">
        <x:v>Not Applied</x:v>
      </x:c>
      <x:c r="O36" s="13" t="str"/>
      <x:c r="P36" s="13" t="str"/>
    </x:row>
    <x:row r="37">
      <x:c r="A37" s="13" t="str">
        <x:v>⭐ Strong Fit</x:v>
      </x:c>
      <x:c r="B37" s="13" t="str">
        <x:v>Salt Security</x:v>
      </x:c>
      <x:c r="C37" s="13" t="str">
        <x:v>Associate Solutions Architect</x:v>
      </x:c>
      <x:c r="D37" s="13" t="str">
        <x:v>API Security / Solutions</x:v>
      </x:c>
      <x:c r="E37" s="13" t="str">
        <x:v>Central US</x:v>
      </x:c>
      <x:c r="F37" s="13" t="str">
        <x:v>Associate</x:v>
      </x:c>
      <x:c r="G37" s="13" t="str">
        <x:v>Moderate</x:v>
      </x:c>
      <x:c r="H37" s="13" t="str">
        <x:v>⚠️ Confirm exact-role sponsorship</x:v>
      </x:c>
      <x:c r="I37" s="13" t="str">
        <x:v>Associate role at API-security company</x:v>
      </x:c>
      <x:c r="J37" s="13" t="str">
        <x:v>Not listed</x:v>
      </x:c>
      <x:c r="K37" s="13" t="str">
        <x:v>https://github.com/HackedRico/2027-cyber-jobs</x:v>
      </x:c>
      <x:c r="L37" s="13" t="str">
        <x:v>https://www.google.com/search?q=Salt+Security+%22Associate+Solutions+Architect%22+careers</x:v>
      </x:c>
      <x:c r="M37" s="13" t="str">
        <x:v>2026-10-26</x:v>
      </x:c>
      <x:c r="N37" s="13" t="str">
        <x:v>Not Applied</x:v>
      </x:c>
      <x:c r="O37" s="13" t="str"/>
      <x:c r="P37" s="13" t="str"/>
    </x:row>
    <x:row r="38">
      <x:c r="A38" s="13" t="str">
        <x:v>⭐ Strong Fit</x:v>
      </x:c>
      <x:c r="B38" s="13" t="str">
        <x:v>Tines</x:v>
      </x:c>
      <x:c r="C38" s="13" t="str">
        <x:v>Technical Support Engineer I</x:v>
      </x:c>
      <x:c r="D38" s="13" t="str">
        <x:v>Security Automation</x:v>
      </x:c>
      <x:c r="E38" s="13" t="str">
        <x:v>Boston, MA</x:v>
      </x:c>
      <x:c r="F38" s="13" t="str">
        <x:v>Engineer I</x:v>
      </x:c>
      <x:c r="G38" s="13" t="str">
        <x:v>Moderate</x:v>
      </x:c>
      <x:c r="H38" s="13" t="str">
        <x:v>⚠️ Confirm exact-role sponsorship</x:v>
      </x:c>
      <x:c r="I38" s="13" t="str">
        <x:v>Level-I role at security automation company</x:v>
      </x:c>
      <x:c r="J38" s="13" t="str">
        <x:v>Not listed</x:v>
      </x:c>
      <x:c r="K38" s="13" t="str">
        <x:v>https://github.com/HackedRico/2027-cyber-jobs</x:v>
      </x:c>
      <x:c r="L38" s="13" t="str">
        <x:v>https://www.google.com/search?q=Tines+%22Technical+Support+Engineer+I%22+careers</x:v>
      </x:c>
      <x:c r="M38" s="13" t="str">
        <x:v>2026-10-26</x:v>
      </x:c>
      <x:c r="N38" s="13" t="str">
        <x:v>Not Applied</x:v>
      </x:c>
      <x:c r="O38" s="13" t="str"/>
      <x:c r="P38" s="13" t="str"/>
    </x:row>
    <x:row r="39">
      <x:c r="A39" s="13" t="str">
        <x:v>⭐ Strong Fit</x:v>
      </x:c>
      <x:c r="B39" s="13" t="str">
        <x:v>Fortra</x:v>
      </x:c>
      <x:c r="C39" s="13" t="str">
        <x:v>Associate Solutions Engineer</x:v>
      </x:c>
      <x:c r="D39" s="13" t="str">
        <x:v>Security Solutions</x:v>
      </x:c>
      <x:c r="E39" s="13" t="str">
        <x:v>Multiple US locations</x:v>
      </x:c>
      <x:c r="F39" s="13" t="str">
        <x:v>Associate</x:v>
      </x:c>
      <x:c r="G39" s="13" t="str">
        <x:v>Moderate</x:v>
      </x:c>
      <x:c r="H39" s="13" t="str">
        <x:v>⚠️ Confirm exact-role sponsorship</x:v>
      </x:c>
      <x:c r="I39" s="13" t="str">
        <x:v>Associate technical role at security-software company</x:v>
      </x:c>
      <x:c r="J39" s="13" t="str">
        <x:v>Not listed</x:v>
      </x:c>
      <x:c r="K39" s="13" t="str">
        <x:v>https://github.com/HackedRico/2027-cyber-jobs</x:v>
      </x:c>
      <x:c r="L39" s="13" t="str">
        <x:v>https://www.google.com/search?q=Fortra+%22Associate+Solutions+Engineer%22+careers</x:v>
      </x:c>
      <x:c r="M39" s="13" t="str">
        <x:v>2026-10-26</x:v>
      </x:c>
      <x:c r="N39" s="13" t="str">
        <x:v>Not Applied</x:v>
      </x:c>
      <x:c r="O39" s="13" t="str"/>
      <x:c r="P39" s="13" t="str"/>
    </x:row>
    <x:row r="40">
      <x:c r="A40" s="13" t="str">
        <x:v>⭐ Strong Fit</x:v>
      </x:c>
      <x:c r="B40" s="13" t="str">
        <x:v>Fortra</x:v>
      </x:c>
      <x:c r="C40" s="13" t="str">
        <x:v>Professional Services Consultant I</x:v>
      </x:c>
      <x:c r="D40" s="13" t="str">
        <x:v>Security Consulting</x:v>
      </x:c>
      <x:c r="E40" s="13" t="str">
        <x:v>United States</x:v>
      </x:c>
      <x:c r="F40" s="13" t="str">
        <x:v>Level I</x:v>
      </x:c>
      <x:c r="G40" s="13" t="str">
        <x:v>Moderate</x:v>
      </x:c>
      <x:c r="H40" s="13" t="str">
        <x:v>⚠️ Confirm exact-role sponsorship</x:v>
      </x:c>
      <x:c r="I40" s="13" t="str">
        <x:v>Level-I role at security-software company</x:v>
      </x:c>
      <x:c r="J40" s="13" t="str">
        <x:v>Not listed</x:v>
      </x:c>
      <x:c r="K40" s="13" t="str">
        <x:v>https://github.com/HackedRico/2027-cyber-jobs</x:v>
      </x:c>
      <x:c r="L40" s="13" t="str">
        <x:v>https://www.google.com/search?q=Fortra+%22Professional+Services+Consultant+I%22+careers</x:v>
      </x:c>
      <x:c r="M40" s="13" t="str">
        <x:v>2026-10-26</x:v>
      </x:c>
      <x:c r="N40" s="13" t="str">
        <x:v>Not Applied</x:v>
      </x:c>
      <x:c r="O40" s="13" t="str"/>
      <x:c r="P40" s="13" t="str"/>
    </x:row>
    <x:row r="41">
      <x:c r="A41" s="13" t="str">
        <x:v>⭐ Strong Fit</x:v>
      </x:c>
      <x:c r="B41" s="13" t="str">
        <x:v>Trellix</x:v>
      </x:c>
      <x:c r="C41" s="13" t="str">
        <x:v>Junior Solutions Engineer</x:v>
      </x:c>
      <x:c r="D41" s="13" t="str">
        <x:v>Security Solutions</x:v>
      </x:c>
      <x:c r="E41" s="13" t="str">
        <x:v>Remote US</x:v>
      </x:c>
      <x:c r="F41" s="13" t="str">
        <x:v>Junior</x:v>
      </x:c>
      <x:c r="G41" s="13" t="str">
        <x:v>Moderate</x:v>
      </x:c>
      <x:c r="H41" s="13" t="str">
        <x:v>⚠️ Confirm exact-role sponsorship</x:v>
      </x:c>
      <x:c r="I41" s="13" t="str">
        <x:v>Junior role at cybersecurity company</x:v>
      </x:c>
      <x:c r="J41" s="13" t="str">
        <x:v>Not listed</x:v>
      </x:c>
      <x:c r="K41" s="13" t="str">
        <x:v>https://github.com/HackedRico/2027-cyber-jobs</x:v>
      </x:c>
      <x:c r="L41" s="13" t="str">
        <x:v>https://www.google.com/search?q=Trellix+%22Junior+Solutions+Engineer%22+careers</x:v>
      </x:c>
      <x:c r="M41" s="13" t="str">
        <x:v>2026-10-26</x:v>
      </x:c>
      <x:c r="N41" s="13" t="str">
        <x:v>Not Applied</x:v>
      </x:c>
      <x:c r="O41" s="13" t="str"/>
      <x:c r="P41" s="13" t="str"/>
    </x:row>
    <x:row r="42">
      <x:c r="A42" s="13" t="str">
        <x:v>⭐ Strong Fit</x:v>
      </x:c>
      <x:c r="B42" s="13" t="str">
        <x:v>Tenable</x:v>
      </x:c>
      <x:c r="C42" s="13" t="str">
        <x:v>Associate Services Architect</x:v>
      </x:c>
      <x:c r="D42" s="13" t="str">
        <x:v>Vulnerability Management / Security Solutions</x:v>
      </x:c>
      <x:c r="E42" s="13" t="str">
        <x:v>Boston, MA / Columbia, MD</x:v>
      </x:c>
      <x:c r="F42" s="13" t="str">
        <x:v>Associate</x:v>
      </x:c>
      <x:c r="G42" s="13" t="str">
        <x:v>Moderate</x:v>
      </x:c>
      <x:c r="H42" s="13" t="str">
        <x:v>⚠️ Confirm exact-role sponsorship</x:v>
      </x:c>
      <x:c r="I42" s="13" t="str">
        <x:v>Associate role at vulnerability-management company</x:v>
      </x:c>
      <x:c r="J42" s="13" t="str">
        <x:v>Not listed</x:v>
      </x:c>
      <x:c r="K42" s="13" t="str">
        <x:v>https://github.com/HackedRico/2027-cyber-jobs</x:v>
      </x:c>
      <x:c r="L42" s="13" t="str">
        <x:v>https://www.google.com/search?q=Tenable+%22Associate+Services+Architect%22+careers</x:v>
      </x:c>
      <x:c r="M42" s="13" t="str">
        <x:v>2026-10-26</x:v>
      </x:c>
      <x:c r="N42" s="13" t="str">
        <x:v>Not Applied</x:v>
      </x:c>
      <x:c r="O42" s="13" t="str"/>
      <x:c r="P42" s="13" t="str"/>
    </x:row>
    <x:row r="43">
      <x:c r="A43" s="13" t="str">
        <x:v>⭐ Strong Fit</x:v>
      </x:c>
      <x:c r="B43" s="13" t="str">
        <x:v>ESET</x:v>
      </x:c>
      <x:c r="C43" s="13" t="str">
        <x:v>Sales Engineer I</x:v>
      </x:c>
      <x:c r="D43" s="13" t="str">
        <x:v>Security Engineering / Solutions</x:v>
      </x:c>
      <x:c r="E43" s="13" t="str">
        <x:v>San Diego, CA</x:v>
      </x:c>
      <x:c r="F43" s="13" t="str">
        <x:v>Engineer I</x:v>
      </x:c>
      <x:c r="G43" s="13" t="str">
        <x:v>Moderate</x:v>
      </x:c>
      <x:c r="H43" s="13" t="str">
        <x:v>⚠️ Confirm exact-role sponsorship</x:v>
      </x:c>
      <x:c r="I43" s="13" t="str">
        <x:v>Level-I technical role at cybersecurity company</x:v>
      </x:c>
      <x:c r="J43" s="13" t="str">
        <x:v>Not listed</x:v>
      </x:c>
      <x:c r="K43" s="13" t="str">
        <x:v>https://github.com/HackedRico/2027-cyber-jobs</x:v>
      </x:c>
      <x:c r="L43" s="13" t="str">
        <x:v>https://www.google.com/search?q=ESET+%22Sales+Engineer+I%22+careers</x:v>
      </x:c>
      <x:c r="M43" s="13" t="str">
        <x:v>2026-10-26</x:v>
      </x:c>
      <x:c r="N43" s="13" t="str">
        <x:v>Not Applied</x:v>
      </x:c>
      <x:c r="O43" s="13" t="str"/>
      <x:c r="P43" s="13" t="str"/>
    </x:row>
    <x:row r="44">
      <x:c r="A44" s="13" t="str">
        <x:v>⭐ Strong Fit</x:v>
      </x:c>
      <x:c r="B44" s="13" t="str">
        <x:v>Verkada</x:v>
      </x:c>
      <x:c r="C44" s="13" t="str">
        <x:v>Associate Solutions Engineer</x:v>
      </x:c>
      <x:c r="D44" s="13" t="str">
        <x:v>Security Solutions</x:v>
      </x:c>
      <x:c r="E44" s="13" t="str">
        <x:v>San Mateo, CA</x:v>
      </x:c>
      <x:c r="F44" s="13" t="str">
        <x:v>Associate</x:v>
      </x:c>
      <x:c r="G44" s="13" t="str">
        <x:v>Moderate</x:v>
      </x:c>
      <x:c r="H44" s="13" t="str">
        <x:v>⚠️ Confirm exact-role sponsorship</x:v>
      </x:c>
      <x:c r="I44" s="13" t="str">
        <x:v>Associate technical role at security company</x:v>
      </x:c>
      <x:c r="J44" s="13" t="str">
        <x:v>Not listed</x:v>
      </x:c>
      <x:c r="K44" s="13" t="str">
        <x:v>https://github.com/HackedRico/2027-cyber-jobs</x:v>
      </x:c>
      <x:c r="L44" s="13" t="str">
        <x:v>https://www.google.com/search?q=Verkada+%22Associate+Solutions+Engineer+San+Mateo%22+careers</x:v>
      </x:c>
      <x:c r="M44" s="13" t="str">
        <x:v>2026-10-26</x:v>
      </x:c>
      <x:c r="N44" s="13" t="str">
        <x:v>Not Applied</x:v>
      </x:c>
      <x:c r="O44" s="13" t="str"/>
      <x:c r="P44" s="13" t="str"/>
    </x:row>
    <x:row r="45">
      <x:c r="A45" s="13" t="str">
        <x:v>⭐ Strong Fit</x:v>
      </x:c>
      <x:c r="B45" s="13" t="str">
        <x:v>Arctic Wolf</x:v>
      </x:c>
      <x:c r="C45" s="13" t="str">
        <x:v>Professional Services Engineer 1</x:v>
      </x:c>
      <x:c r="D45" s="13" t="str">
        <x:v>Security Operations / Services</x:v>
      </x:c>
      <x:c r="E45" s="13" t="str">
        <x:v>Eden Prairie, MN / San Antonio, TX</x:v>
      </x:c>
      <x:c r="F45" s="13" t="str">
        <x:v>Engineer 1</x:v>
      </x:c>
      <x:c r="G45" s="13" t="str">
        <x:v>Moderate</x:v>
      </x:c>
      <x:c r="H45" s="13" t="str">
        <x:v>⚠️ Confirm exact-role sponsorship</x:v>
      </x:c>
      <x:c r="I45" s="13" t="str">
        <x:v>Engineer-1 role at SOC/security company</x:v>
      </x:c>
      <x:c r="J45" s="13" t="str">
        <x:v>Not listed</x:v>
      </x:c>
      <x:c r="K45" s="13" t="str">
        <x:v>https://github.com/HackedRico/2027-cyber-jobs</x:v>
      </x:c>
      <x:c r="L45" s="13" t="str">
        <x:v>https://www.google.com/search?q=Arctic+Wolf+%22Professional+Services+Engineer+1%22+careers</x:v>
      </x:c>
      <x:c r="M45" s="13" t="str">
        <x:v>2026-10-26</x:v>
      </x:c>
      <x:c r="N45" s="13" t="str">
        <x:v>Not Applied</x:v>
      </x:c>
      <x:c r="O45" s="13" t="str"/>
      <x:c r="P45" s="13" t="str"/>
    </x:row>
    <x:row r="46">
      <x:c r="A46" s="13" t="str">
        <x:v>⭐ Strong Fit</x:v>
      </x:c>
      <x:c r="B46" s="13" t="str">
        <x:v>ExtraHop</x:v>
      </x:c>
      <x:c r="C46" s="13" t="str">
        <x:v>Support Engineer I</x:v>
      </x:c>
      <x:c r="D46" s="13" t="str">
        <x:v>Network Detection &amp; Response</x:v>
      </x:c>
      <x:c r="E46" s="13" t="str">
        <x:v>North Carolina</x:v>
      </x:c>
      <x:c r="F46" s="13" t="str">
        <x:v>Engineer I</x:v>
      </x:c>
      <x:c r="G46" s="13" t="str">
        <x:v>Moderate</x:v>
      </x:c>
      <x:c r="H46" s="13" t="str">
        <x:v>⚠️ Confirm exact-role sponsorship</x:v>
      </x:c>
      <x:c r="I46" s="13" t="str">
        <x:v>Level-I role at NDR security company</x:v>
      </x:c>
      <x:c r="J46" s="13" t="str">
        <x:v>Not listed</x:v>
      </x:c>
      <x:c r="K46" s="13" t="str">
        <x:v>https://github.com/HackedRico/2027-cyber-jobs</x:v>
      </x:c>
      <x:c r="L46" s="13" t="str">
        <x:v>https://www.google.com/search?q=ExtraHop+%22Support+Engineer+I+NC%22+careers</x:v>
      </x:c>
      <x:c r="M46" s="13" t="str">
        <x:v>2026-10-26</x:v>
      </x:c>
      <x:c r="N46" s="13" t="str">
        <x:v>Not Applied</x:v>
      </x:c>
      <x:c r="O46" s="13" t="str"/>
      <x:c r="P46" s="13" t="str"/>
    </x:row>
    <x:row r="47">
      <x:c r="A47" s="13" t="str">
        <x:v>⭐ Strong Fit</x:v>
      </x:c>
      <x:c r="B47" s="13" t="str">
        <x:v>ExtraHop</x:v>
      </x:c>
      <x:c r="C47" s="13" t="str">
        <x:v>Support Engineer I</x:v>
      </x:c>
      <x:c r="D47" s="13" t="str">
        <x:v>Network Detection &amp; Response</x:v>
      </x:c>
      <x:c r="E47" s="13" t="str">
        <x:v>Dallas, TX</x:v>
      </x:c>
      <x:c r="F47" s="13" t="str">
        <x:v>Engineer I</x:v>
      </x:c>
      <x:c r="G47" s="13" t="str">
        <x:v>Moderate</x:v>
      </x:c>
      <x:c r="H47" s="13" t="str">
        <x:v>⚠️ Confirm exact-role sponsorship</x:v>
      </x:c>
      <x:c r="I47" s="13" t="str">
        <x:v>Level-I role at NDR security company</x:v>
      </x:c>
      <x:c r="J47" s="13" t="str">
        <x:v>Not listed</x:v>
      </x:c>
      <x:c r="K47" s="13" t="str">
        <x:v>https://github.com/HackedRico/2027-cyber-jobs</x:v>
      </x:c>
      <x:c r="L47" s="13" t="str">
        <x:v>https://www.google.com/search?q=ExtraHop+%22Support+Engineer+I+Dallas%22+careers</x:v>
      </x:c>
      <x:c r="M47" s="13" t="str">
        <x:v>2026-10-26</x:v>
      </x:c>
      <x:c r="N47" s="13" t="str">
        <x:v>Not Applied</x:v>
      </x:c>
      <x:c r="O47" s="13" t="str"/>
      <x:c r="P47" s="13" t="str"/>
    </x:row>
    <x:row r="48">
      <x:c r="A48" s="13" t="str">
        <x:v>⭐ Strong Fit</x:v>
      </x:c>
      <x:c r="B48" s="13" t="str">
        <x:v>ExtraHop</x:v>
      </x:c>
      <x:c r="C48" s="13" t="str">
        <x:v>Support Engineer I</x:v>
      </x:c>
      <x:c r="D48" s="13" t="str">
        <x:v>Network Detection &amp; Response</x:v>
      </x:c>
      <x:c r="E48" s="13" t="str">
        <x:v>Seattle, WA</x:v>
      </x:c>
      <x:c r="F48" s="13" t="str">
        <x:v>Engineer I</x:v>
      </x:c>
      <x:c r="G48" s="13" t="str">
        <x:v>Moderate</x:v>
      </x:c>
      <x:c r="H48" s="13" t="str">
        <x:v>⚠️ Confirm exact-role sponsorship</x:v>
      </x:c>
      <x:c r="I48" s="13" t="str">
        <x:v>Level-I role at NDR security company</x:v>
      </x:c>
      <x:c r="J48" s="13" t="str">
        <x:v>Not listed</x:v>
      </x:c>
      <x:c r="K48" s="13" t="str">
        <x:v>https://github.com/HackedRico/2027-cyber-jobs</x:v>
      </x:c>
      <x:c r="L48" s="13" t="str">
        <x:v>https://www.google.com/search?q=ExtraHop+%22Support+Engineer+I+Seattle%22+careers</x:v>
      </x:c>
      <x:c r="M48" s="13" t="str">
        <x:v>2026-10-26</x:v>
      </x:c>
      <x:c r="N48" s="13" t="str">
        <x:v>Not Applied</x:v>
      </x:c>
      <x:c r="O48" s="13" t="str"/>
      <x:c r="P48" s="13" t="str"/>
    </x:row>
    <x:row r="49">
      <x:c r="A49" s="13" t="str">
        <x:v>⭐ Strong Fit</x:v>
      </x:c>
      <x:c r="B49" s="13" t="str">
        <x:v>TRM Labs</x:v>
      </x:c>
      <x:c r="C49" s="13" t="str">
        <x:v>University Grad – Product Engineer (2026-2027)</x:v>
      </x:c>
      <x:c r="D49" s="13" t="str">
        <x:v>Engineering @ Security Company</x:v>
      </x:c>
      <x:c r="E49" s="13" t="str">
        <x:v>Los Angeles, CA</x:v>
      </x:c>
      <x:c r="F49" s="13" t="str">
        <x:v>University Grad</x:v>
      </x:c>
      <x:c r="G49" s="13" t="str">
        <x:v>Strong</x:v>
      </x:c>
      <x:c r="H49" s="13" t="str">
        <x:v>⚠️ Confirm exact-role sponsorship</x:v>
      </x:c>
      <x:c r="I49" s="13" t="str">
        <x:v>University-grad role at blockchain intelligence/security company</x:v>
      </x:c>
      <x:c r="J49" s="13" t="str">
        <x:v>Not listed</x:v>
      </x:c>
      <x:c r="K49" s="13" t="str">
        <x:v>https://github.com/HackedRico/2027-cyber-jobs</x:v>
      </x:c>
      <x:c r="L49" s="13" t="str">
        <x:v>https://www.google.com/search?q=TRM+Labs+%22University+Grad+Product+Engineer+2026+2027%22+careers</x:v>
      </x:c>
      <x:c r="M49" s="13" t="str">
        <x:v>2026-10-26</x:v>
      </x:c>
      <x:c r="N49" s="13" t="str">
        <x:v>Not Applied</x:v>
      </x:c>
      <x:c r="O49" s="13" t="str"/>
      <x:c r="P49" s="13" t="str"/>
    </x:row>
    <x:row r="50">
      <x:c r="A50" s="13" t="str">
        <x:v>⭐ Strong Fit</x:v>
      </x:c>
      <x:c r="B50" s="13" t="str">
        <x:v>Palo Alto Networks</x:v>
      </x:c>
      <x:c r="C50" s="13" t="str">
        <x:v>Software Engineer</x:v>
      </x:c>
      <x:c r="D50" s="13" t="str">
        <x:v>Engineering @ Security Company</x:v>
      </x:c>
      <x:c r="E50" s="13" t="str">
        <x:v>California</x:v>
      </x:c>
      <x:c r="F50" s="13" t="str">
        <x:v>Early Career / New Grad</x:v>
      </x:c>
      <x:c r="G50" s="13" t="str">
        <x:v>Strong</x:v>
      </x:c>
      <x:c r="H50" s="13" t="str">
        <x:v>⚠️ Confirm exact-role sponsorship</x:v>
      </x:c>
      <x:c r="I50" s="13" t="str">
        <x:v>Current university/new-grad board role at cybersecurity company</x:v>
      </x:c>
      <x:c r="J50" s="13" t="str">
        <x:v>Not listed</x:v>
      </x:c>
      <x:c r="K50" s="13" t="str">
        <x:v>https://github.com/HackedRico/2027-cyber-jobs</x:v>
      </x:c>
      <x:c r="L50" s="13" t="str">
        <x:v>https://www.google.com/search?q=Palo+Alto+Networks+%22Software+Engineer+new+grad%22+careers</x:v>
      </x:c>
      <x:c r="M50" s="13" t="str">
        <x:v>2026-10-26</x:v>
      </x:c>
      <x:c r="N50" s="13" t="str">
        <x:v>Not Applied</x:v>
      </x:c>
      <x:c r="O50" s="13" t="str"/>
      <x:c r="P50" s="13" t="str"/>
    </x:row>
    <x:row r="51">
      <x:c r="A51" s="13" t="str">
        <x:v>⭐ Strong Fit</x:v>
      </x:c>
      <x:c r="B51" s="13" t="str">
        <x:v>ID.me</x:v>
      </x:c>
      <x:c r="C51" s="13" t="str">
        <x:v>Software Development Engineer II – Life Hub (New Grad / Early Career)</x:v>
      </x:c>
      <x:c r="D51" s="13" t="str">
        <x:v>Engineering @ Identity Security Company</x:v>
      </x:c>
      <x:c r="E51" s="13" t="str">
        <x:v>Mountain View, CA</x:v>
      </x:c>
      <x:c r="F51" s="13" t="str">
        <x:v>New Grad / Early Career</x:v>
      </x:c>
      <x:c r="G51" s="13" t="str">
        <x:v>Strong</x:v>
      </x:c>
      <x:c r="H51" s="13" t="str">
        <x:v>⚠️ Confirm exact-role sponsorship</x:v>
      </x:c>
      <x:c r="I51" s="13" t="str">
        <x:v>Explicit new-grad/early-career role at identity company</x:v>
      </x:c>
      <x:c r="J51" s="13" t="str">
        <x:v>Not listed</x:v>
      </x:c>
      <x:c r="K51" s="13" t="str">
        <x:v>https://github.com/HackedRico/2027-cyber-jobs</x:v>
      </x:c>
      <x:c r="L51" s="13" t="str">
        <x:v>https://www.google.com/search?q=ID.me+%22Software+Development+Engineer+II+Life+Hub+New+Grad+Early+Career%22+careers</x:v>
      </x:c>
      <x:c r="M51" s="13" t="str">
        <x:v>2026-10-26</x:v>
      </x:c>
      <x:c r="N51" s="13" t="str">
        <x:v>Not Applied</x:v>
      </x:c>
      <x:c r="O51" s="13" t="str"/>
      <x:c r="P51" s="13" t="str"/>
    </x:row>
    <x:row r="52">
      <x:c r="A52" s="13" t="str">
        <x:v>⭐ Strong Fit</x:v>
      </x:c>
      <x:c r="B52" s="13" t="str">
        <x:v>ID.me</x:v>
      </x:c>
      <x:c r="C52" s="13" t="str">
        <x:v>Software Engineer II, Developer Portal (New Grad / Early Career)</x:v>
      </x:c>
      <x:c r="D52" s="13" t="str">
        <x:v>Engineering @ Identity Security Company</x:v>
      </x:c>
      <x:c r="E52" s="13" t="str">
        <x:v>Mountain View, CA</x:v>
      </x:c>
      <x:c r="F52" s="13" t="str">
        <x:v>New Grad / Early Career</x:v>
      </x:c>
      <x:c r="G52" s="13" t="str">
        <x:v>Strong</x:v>
      </x:c>
      <x:c r="H52" s="13" t="str">
        <x:v>⚠️ Confirm exact-role sponsorship</x:v>
      </x:c>
      <x:c r="I52" s="13" t="str">
        <x:v>Explicit new-grad/early-career role at identity company</x:v>
      </x:c>
      <x:c r="J52" s="13" t="str">
        <x:v>Not listed</x:v>
      </x:c>
      <x:c r="K52" s="13" t="str">
        <x:v>https://github.com/HackedRico/2027-cyber-jobs</x:v>
      </x:c>
      <x:c r="L52" s="13" t="str">
        <x:v>https://www.google.com/search?q=ID.me+%22Software+Engineer+II+Developer+Portal+New+Grad+Early+Career%22+careers</x:v>
      </x:c>
      <x:c r="M52" s="13" t="str">
        <x:v>2026-10-26</x:v>
      </x:c>
      <x:c r="N52" s="13" t="str">
        <x:v>Not Applied</x:v>
      </x:c>
      <x:c r="O52" s="13" t="str"/>
      <x:c r="P52" s="13" t="str"/>
    </x:row>
    <x:row r="53">
      <x:c r="A53" s="13" t="str">
        <x:v>⭐ Strong Fit</x:v>
      </x:c>
      <x:c r="B53" s="13" t="str">
        <x:v>Fortinet</x:v>
      </x:c>
      <x:c r="C53" s="13" t="str">
        <x:v>Early Careers: Verification Engineer</x:v>
      </x:c>
      <x:c r="D53" s="13" t="str">
        <x:v>Engineering @ Security Company</x:v>
      </x:c>
      <x:c r="E53" s="13" t="str">
        <x:v>Sunnyvale, CA</x:v>
      </x:c>
      <x:c r="F53" s="13" t="str">
        <x:v>Early Careers</x:v>
      </x:c>
      <x:c r="G53" s="13" t="str">
        <x:v>Strong</x:v>
      </x:c>
      <x:c r="H53" s="13" t="str">
        <x:v>⚠️ Confirm exact-role sponsorship</x:v>
      </x:c>
      <x:c r="I53" s="13" t="str">
        <x:v>Explicit early-careers role at cybersecurity company</x:v>
      </x:c>
      <x:c r="J53" s="13" t="str">
        <x:v>Not listed</x:v>
      </x:c>
      <x:c r="K53" s="13" t="str">
        <x:v>https://github.com/HackedRico/2027-cyber-jobs</x:v>
      </x:c>
      <x:c r="L53" s="13" t="str">
        <x:v>https://www.google.com/search?q=Fortinet+%22Early+Careers+Verification+Engineer%22+careers</x:v>
      </x:c>
      <x:c r="M53" s="13" t="str">
        <x:v>2026-10-26</x:v>
      </x:c>
      <x:c r="N53" s="13" t="str">
        <x:v>Not Applied</x:v>
      </x:c>
      <x:c r="O53" s="13" t="str"/>
      <x:c r="P53" s="13" t="str"/>
    </x:row>
    <x:row r="54">
      <x:c r="A54" s="13" t="str">
        <x:v>⭐ Strong Fit</x:v>
      </x:c>
      <x:c r="B54" s="13" t="str">
        <x:v>Fortinet</x:v>
      </x:c>
      <x:c r="C54" s="13" t="str">
        <x:v>Early Careers: Software Development Engineer</x:v>
      </x:c>
      <x:c r="D54" s="13" t="str">
        <x:v>Engineering @ Security Company</x:v>
      </x:c>
      <x:c r="E54" s="13" t="str">
        <x:v>Sunnyvale, CA</x:v>
      </x:c>
      <x:c r="F54" s="13" t="str">
        <x:v>Early Careers</x:v>
      </x:c>
      <x:c r="G54" s="13" t="str">
        <x:v>Strong</x:v>
      </x:c>
      <x:c r="H54" s="13" t="str">
        <x:v>⚠️ Confirm exact-role sponsorship</x:v>
      </x:c>
      <x:c r="I54" s="13" t="str">
        <x:v>Explicit early-careers role at cybersecurity company</x:v>
      </x:c>
      <x:c r="J54" s="13" t="str">
        <x:v>Not listed</x:v>
      </x:c>
      <x:c r="K54" s="13" t="str">
        <x:v>https://github.com/HackedRico/2027-cyber-jobs</x:v>
      </x:c>
      <x:c r="L54" s="13" t="str">
        <x:v>https://www.google.com/search?q=Fortinet+%22Early+Careers+Software+Development+Engineer%22+careers</x:v>
      </x:c>
      <x:c r="M54" s="13" t="str">
        <x:v>2026-10-26</x:v>
      </x:c>
      <x:c r="N54" s="13" t="str">
        <x:v>Not Applied</x:v>
      </x:c>
      <x:c r="O54" s="13" t="str"/>
      <x:c r="P54" s="13" t="str"/>
    </x:row>
    <x:row r="55">
      <x:c r="A55" s="13" t="str">
        <x:v>⭐ Strong Fit</x:v>
      </x:c>
      <x:c r="B55" s="13" t="str">
        <x:v>BeyondTrust</x:v>
      </x:c>
      <x:c r="C55" s="13" t="str">
        <x:v>Associate Data Engineer</x:v>
      </x:c>
      <x:c r="D55" s="13" t="str">
        <x:v>Engineering @ Security Company</x:v>
      </x:c>
      <x:c r="E55" s="13" t="str">
        <x:v>Remote US</x:v>
      </x:c>
      <x:c r="F55" s="13" t="str">
        <x:v>Associate</x:v>
      </x:c>
      <x:c r="G55" s="13" t="str">
        <x:v>Moderate</x:v>
      </x:c>
      <x:c r="H55" s="13" t="str">
        <x:v>⚠️ Confirm exact-role sponsorship</x:v>
      </x:c>
      <x:c r="I55" s="13" t="str">
        <x:v>Associate role at identity/security company</x:v>
      </x:c>
      <x:c r="J55" s="13" t="str">
        <x:v>Not listed</x:v>
      </x:c>
      <x:c r="K55" s="13" t="str">
        <x:v>https://github.com/HackedRico/2027-cyber-jobs</x:v>
      </x:c>
      <x:c r="L55" s="13" t="str">
        <x:v>https://www.google.com/search?q=BeyondTrust+%22Associate+Data+Engineer%22+careers</x:v>
      </x:c>
      <x:c r="M55" s="13" t="str">
        <x:v>2026-10-26</x:v>
      </x:c>
      <x:c r="N55" s="13" t="str">
        <x:v>Not Applied</x:v>
      </x:c>
      <x:c r="O55" s="13" t="str"/>
      <x:c r="P55" s="13" t="str"/>
    </x:row>
    <x:row r="56">
      <x:c r="A56" s="13" t="str">
        <x:v>🔥 Apply First</x:v>
      </x:c>
      <x:c r="B56" s="13" t="str">
        <x:v>1Password</x:v>
      </x:c>
      <x:c r="C56" s="13" t="str">
        <x:v>Security Intern, Threat Operations - Winter 2027</x:v>
      </x:c>
      <x:c r="D56" s="13" t="str">
        <x:v>Threat Operations / IR</x:v>
      </x:c>
      <x:c r="E56" s="13" t="str">
        <x:v>Remote US / Canada</x:v>
      </x:c>
      <x:c r="F56" s="13" t="str">
        <x:v>Winter 2027 Internship</x:v>
      </x:c>
      <x:c r="G56" s="13" t="str">
        <x:v>Excellent</x:v>
      </x:c>
      <x:c r="H56" s="13" t="str">
        <x:v>⚠️ Sponsorship/CPT details not stated; confirm with recruiter</x:v>
      </x:c>
      <x:c r="I56" s="13" t="str">
        <x:v>Jan–Apr 2027, before May graduation</x:v>
      </x:c>
      <x:c r="J56" s="13" t="str">
        <x:v>Not listed</x:v>
      </x:c>
      <x:c r="K56" s="13" t="str">
        <x:v>https://jobs.ashbyhq.com/1password/aac7eea6-ed7c-4871-bbf2-7cb2d5138847</x:v>
      </x:c>
      <x:c r="L56" s="13" t="str">
        <x:v>https://www.google.com/search?q=1Password+%22Security+Intern+Threat+Operations+Winter+2027%22+careers</x:v>
      </x:c>
      <x:c r="M56" s="13" t="str">
        <x:v>2026-10-26</x:v>
      </x:c>
      <x:c r="N56" s="13" t="str">
        <x:v>Not Applied</x:v>
      </x:c>
      <x:c r="O56" s="13" t="str"/>
      <x:c r="P56" s="13" t="str"/>
    </x:row>
    <x:row r="57">
      <x:c r="A57" s="13" t="str">
        <x:v>🔥 Apply First</x:v>
      </x:c>
      <x:c r="B57" s="13" t="str">
        <x:v>1Password</x:v>
      </x:c>
      <x:c r="C57" s="13" t="str">
        <x:v>Developer Intern, Data Security - Winter 2027</x:v>
      </x:c>
      <x:c r="D57" s="13" t="str">
        <x:v>Data Security</x:v>
      </x:c>
      <x:c r="E57" s="13" t="str">
        <x:v>Remote US / Canada</x:v>
      </x:c>
      <x:c r="F57" s="13" t="str">
        <x:v>Winter 2027 Internship</x:v>
      </x:c>
      <x:c r="G57" s="13" t="str">
        <x:v>Excellent</x:v>
      </x:c>
      <x:c r="H57" s="13" t="str">
        <x:v>⚠️ Sponsorship/CPT details not stated; confirm with recruiter</x:v>
      </x:c>
      <x:c r="I57" s="13" t="str">
        <x:v>Winter 2027, before May graduation</x:v>
      </x:c>
      <x:c r="J57" s="13" t="str">
        <x:v>Not listed</x:v>
      </x:c>
      <x:c r="K57" s="13" t="str">
        <x:v>https://github.com/HackedRico/2027-cyber-jobs</x:v>
      </x:c>
      <x:c r="L57" s="13" t="str">
        <x:v>https://www.google.com/search?q=1Password+%22Developer+Intern+Data+Security+Winter+2027%22+careers</x:v>
      </x:c>
      <x:c r="M57" s="13" t="str">
        <x:v>2026-10-26</x:v>
      </x:c>
      <x:c r="N57" s="13" t="str">
        <x:v>Not Applied</x:v>
      </x:c>
      <x:c r="O57" s="13" t="str"/>
      <x:c r="P57" s="13" t="str"/>
    </x:row>
    <x:row r="58">
      <x:c r="A58" s="13" t="str">
        <x:v>⭐ Strong Fit</x:v>
      </x:c>
      <x:c r="B58" s="13" t="str">
        <x:v>1Password</x:v>
      </x:c>
      <x:c r="C58" s="13" t="str">
        <x:v>Developer Intern, Machine Identity - Winter 2027</x:v>
      </x:c>
      <x:c r="D58" s="13" t="str">
        <x:v>Identity / IAM</x:v>
      </x:c>
      <x:c r="E58" s="13" t="str">
        <x:v>Remote US / Canada</x:v>
      </x:c>
      <x:c r="F58" s="13" t="str">
        <x:v>Winter 2027 Internship</x:v>
      </x:c>
      <x:c r="G58" s="13" t="str">
        <x:v>Excellent</x:v>
      </x:c>
      <x:c r="H58" s="13" t="str">
        <x:v>⚠️ Sponsorship/CPT details not stated; confirm with recruiter</x:v>
      </x:c>
      <x:c r="I58" s="13" t="str">
        <x:v>Winter 2027, before May graduation</x:v>
      </x:c>
      <x:c r="J58" s="13" t="str">
        <x:v>Not listed</x:v>
      </x:c>
      <x:c r="K58" s="13" t="str">
        <x:v>https://github.com/HackedRico/2027-cyber-jobs</x:v>
      </x:c>
      <x:c r="L58" s="13" t="str">
        <x:v>https://www.google.com/search?q=1Password+%22Developer+Intern+Machine+Identity+Winter+2027%22+careers</x:v>
      </x:c>
      <x:c r="M58" s="13" t="str">
        <x:v>2026-10-26</x:v>
      </x:c>
      <x:c r="N58" s="13" t="str">
        <x:v>Not Applied</x:v>
      </x:c>
      <x:c r="O58" s="13" t="str"/>
      <x:c r="P58" s="13" t="str"/>
    </x:row>
    <x:row r="59">
      <x:c r="A59" s="13" t="str">
        <x:v>🔥 Apply First</x:v>
      </x:c>
      <x:c r="B59" s="13" t="str">
        <x:v>Ciena</x:v>
      </x:c>
      <x:c r="C59" s="13" t="str">
        <x:v>Software Engineer (Security) - Intern (Winter 2027)</x:v>
      </x:c>
      <x:c r="D59" s="13" t="str">
        <x:v>Product / Network Security</x:v>
      </x:c>
      <x:c r="E59" s="13" t="str">
        <x:v>Atlanta, GA</x:v>
      </x:c>
      <x:c r="F59" s="13" t="str">
        <x:v>Winter 2027 Internship</x:v>
      </x:c>
      <x:c r="G59" s="13" t="str">
        <x:v>Excellent</x:v>
      </x:c>
      <x:c r="H59" s="13" t="str">
        <x:v>⚠️ Work authorization language not surfaced; confirm CPT acceptance</x:v>
      </x:c>
      <x:c r="I59" s="13" t="str">
        <x:v>4-month term starting January 2027</x:v>
      </x:c>
      <x:c r="J59" s="13" t="str">
        <x:v>Not listed</x:v>
      </x:c>
      <x:c r="K59" s="13" t="str">
        <x:v>https://ciena.wd5.myworkdayjobs.com/careers/job/Atlanta/Software-Engineer--Security----Intern--Winter-2027-_R031926</x:v>
      </x:c>
      <x:c r="L59" s="13" t="str">
        <x:v>https://www.google.com/search?q=Ciena+%22Software+Engineer+Security+Intern+Winter+2027%22+careers</x:v>
      </x:c>
      <x:c r="M59" s="13" t="str">
        <x:v>2026-10-26</x:v>
      </x:c>
      <x:c r="N59" s="13" t="str">
        <x:v>Not Applied</x:v>
      </x:c>
      <x:c r="O59" s="13" t="str"/>
      <x:c r="P59" s="13" t="str"/>
    </x:row>
    <x:row r="60">
      <x:c r="A60" s="13" t="str">
        <x:v>🔥 Apply First</x:v>
      </x:c>
      <x:c r="B60" s="13" t="str">
        <x:v>Georgia Tech Research Institute (GTRI)</x:v>
      </x:c>
      <x:c r="C60" s="13" t="str">
        <x:v>General Cybersecurity Graduate Intern - CIPHER - Spring 2027</x:v>
      </x:c>
      <x:c r="D60" s="13" t="str">
        <x:v>Cybersecurity Research</x:v>
      </x:c>
      <x:c r="E60" s="13" t="str">
        <x:v>Atlanta, GA</x:v>
      </x:c>
      <x:c r="F60" s="13" t="str">
        <x:v>Spring 2027 Graduate Internship</x:v>
      </x:c>
      <x:c r="G60" s="13" t="str">
        <x:v>Excellent</x:v>
      </x:c>
      <x:c r="H60" s="13" t="str">
        <x:v>✅ No U.S. citizenship requirement; no clearance required</x:v>
      </x:c>
      <x:c r="I60" s="13" t="str">
        <x:v>Master’s/PhD; active Spring 2027 student requirements apply</x:v>
      </x:c>
      <x:c r="J60" s="13" t="str">
        <x:v>Not listed</x:v>
      </x:c>
      <x:c r="K60" s="13" t="str">
        <x:v>https://careers.gtri.gatech.edu/jobs/general-cybersecurity-graduate-intern-cipher-spring-2027-atlanta-georgia-united-states</x:v>
      </x:c>
      <x:c r="L60" s="13" t="str">
        <x:v>https://www.google.com/search?q=GTRI+%22General+Cybersecurity+Graduate+Intern+CIPHER+Spring+2027%22+careers</x:v>
      </x:c>
      <x:c r="M60" s="13" t="str">
        <x:v>2026-10-26</x:v>
      </x:c>
      <x:c r="N60" s="13" t="str">
        <x:v>Not Applied</x:v>
      </x:c>
      <x:c r="O60" s="13" t="str"/>
      <x:c r="P60" s="13" t="str"/>
    </x:row>
    <x:row r="61">
      <x:c r="A61" s="13" t="str">
        <x:v>⭐ Strong Fit</x:v>
      </x:c>
      <x:c r="B61" s="13" t="str">
        <x:v>GuidePoint Security</x:v>
      </x:c>
      <x:c r="C61" s="13" t="str">
        <x:v>GPSU Cybersecurity Spring Internship</x:v>
      </x:c>
      <x:c r="D61" s="13" t="str">
        <x:v>Cybersecurity</x:v>
      </x:c>
      <x:c r="E61" s="13" t="str">
        <x:v>Remote US</x:v>
      </x:c>
      <x:c r="F61" s="13" t="str">
        <x:v>Spring 2027 Internship</x:v>
      </x:c>
      <x:c r="G61" s="13" t="str">
        <x:v>Excellent</x:v>
      </x:c>
      <x:c r="H61" s="13" t="str">
        <x:v>⚠️ U.S. work authorization required; confirm CPT is accepted</x:v>
      </x:c>
      <x:c r="I61" s="13" t="str">
        <x:v>Jan–Apr 2027; intended for candidates available for full-time hire by Sep 2027</x:v>
      </x:c>
      <x:c r="J61" s="13" t="str">
        <x:v>$20/hr</x:v>
      </x:c>
      <x:c r="K61" s="13" t="str">
        <x:v>https://github.com/HackedRico/2027-cyber-jobs</x:v>
      </x:c>
      <x:c r="L61" s="13" t="str">
        <x:v>https://www.google.com/search?q=GuidePoint+Security+%22GPSU+Cybersecurity+Spring+Internship%22+careers</x:v>
      </x:c>
      <x:c r="M61" s="13" t="str">
        <x:v>2026-10-26</x:v>
      </x:c>
      <x:c r="N61" s="13" t="str">
        <x:v>Not Applied</x:v>
      </x:c>
      <x:c r="O61" s="13" t="str"/>
      <x:c r="P61" s="13" t="str"/>
    </x:row>
    <x:row r="62">
      <x:c r="A62" s="13" t="str">
        <x:v>⭐ Strong Fit</x:v>
      </x:c>
      <x:c r="B62" s="13" t="str">
        <x:v>CertiK</x:v>
      </x:c>
      <x:c r="C62" s="13" t="str">
        <x:v>Security Research Internship</x:v>
      </x:c>
      <x:c r="D62" s="13" t="str">
        <x:v>Security Research / Blockchain</x:v>
      </x:c>
      <x:c r="E62" s="13" t="str">
        <x:v>New York, NY</x:v>
      </x:c>
      <x:c r="F62" s="13" t="str">
        <x:v>Internship</x:v>
      </x:c>
      <x:c r="G62" s="13" t="str">
        <x:v>Strong</x:v>
      </x:c>
      <x:c r="H62" s="13" t="str">
        <x:v>⚠️ Confirm CPT / future sponsorship with recruiter</x:v>
      </x:c>
      <x:c r="I62" s="13" t="str">
        <x:v>Pursuing Master’s/PhD in CS/Cyber; active current posting</x:v>
      </x:c>
      <x:c r="J62" s="13" t="str">
        <x:v>$3K–$8K/month</x:v>
      </x:c>
      <x:c r="K62" s="13" t="str">
        <x:v>https://www.indeed.com/</x:v>
      </x:c>
      <x:c r="L62" s="13" t="str">
        <x:v>https://www.google.com/search?q=CertiK+%22Security+Research+Internship%22+careers</x:v>
      </x:c>
      <x:c r="M62" s="13" t="str">
        <x:v>2026-10-26</x:v>
      </x:c>
      <x:c r="N62" s="13" t="str">
        <x:v>Not Applied</x:v>
      </x:c>
      <x:c r="O62" s="13" t="str"/>
      <x:c r="P62" s="13" t="str"/>
    </x:row>
    <x:row r="63">
      <x:c r="A63" s="13" t="str">
        <x:v>⭐ Strong Fit</x:v>
      </x:c>
      <x:c r="B63" s="13" t="str">
        <x:v>CertiK</x:v>
      </x:c>
      <x:c r="C63" s="13" t="str">
        <x:v>Blockchain Security Expert Intern - AI Track</x:v>
      </x:c>
      <x:c r="D63" s="13" t="str">
        <x:v>AI / Blockchain Security</x:v>
      </x:c>
      <x:c r="E63" s="13" t="str">
        <x:v>New York, NY</x:v>
      </x:c>
      <x:c r="F63" s="13" t="str">
        <x:v>Internship</x:v>
      </x:c>
      <x:c r="G63" s="13" t="str">
        <x:v>Strong</x:v>
      </x:c>
      <x:c r="H63" s="13" t="str">
        <x:v>⚠️ Confirm CPT / future sponsorship with recruiter</x:v>
      </x:c>
      <x:c r="I63" s="13" t="str">
        <x:v>Security + AI research internship; active current posting</x:v>
      </x:c>
      <x:c r="J63" s="13" t="str">
        <x:v>$6K–$8K/month</x:v>
      </x:c>
      <x:c r="K63" s="13" t="str">
        <x:v>https://www.indeed.com/</x:v>
      </x:c>
      <x:c r="L63" s="13" t="str">
        <x:v>https://www.google.com/search?q=CertiK+%22Blockchain+Security+Expert+Intern+AI+Track%22+careers</x:v>
      </x:c>
      <x:c r="M63" s="13" t="str">
        <x:v>2026-10-26</x:v>
      </x:c>
      <x:c r="N63" s="13" t="str">
        <x:v>Not Applied</x:v>
      </x:c>
      <x:c r="O63" s="13" t="str"/>
      <x:c r="P63" s="13" t="str"/>
    </x:row>
    <x:row r="64">
      <x:c r="A64" s="13" t="str">
        <x:v>⭐ Strong Fit</x:v>
      </x:c>
      <x:c r="B64" s="13" t="str">
        <x:v>Illumio</x:v>
      </x:c>
      <x:c r="C64" s="13" t="str">
        <x:v>Engineering Intern, Product Security</x:v>
      </x:c>
      <x:c r="D64" s="13" t="str">
        <x:v>Product Security</x:v>
      </x:c>
      <x:c r="E64" s="13" t="str">
        <x:v>Sunnyvale, CA</x:v>
      </x:c>
      <x:c r="F64" s="13" t="str">
        <x:v>Summer 2027 Internship</x:v>
      </x:c>
      <x:c r="G64" s="13" t="str">
        <x:v>Good</x:v>
      </x:c>
      <x:c r="H64" s="13" t="str">
        <x:v>⚠️ Confirm sponsorship/work authorization</x:v>
      </x:c>
      <x:c r="I64" s="13" t="str">
        <x:v>Posting expects Winter 2026/Spring 2027 graduation, so May 2027 cohort fits</x:v>
      </x:c>
      <x:c r="J64" s="13" t="str">
        <x:v>Not listed</x:v>
      </x:c>
      <x:c r="K64" s="13" t="str">
        <x:v>https://github.com/HackedRico/2027-cyber-jobs</x:v>
      </x:c>
      <x:c r="L64" s="13" t="str">
        <x:v>https://www.google.com/search?q=Illumio+%22Engineering+Intern+Product+Security%22+careers</x:v>
      </x:c>
      <x:c r="M64" s="13" t="str">
        <x:v>2026-10-26</x:v>
      </x:c>
      <x:c r="N64" s="13" t="str">
        <x:v>Not Applied</x:v>
      </x:c>
      <x:c r="O64" s="13" t="str"/>
      <x:c r="P64" s="13" t="str"/>
    </x:row>
    <x:row r="65">
      <x:c r="A65" s="13" t="str">
        <x:v>⭐ Strong Fit</x:v>
      </x:c>
      <x:c r="B65" s="13" t="str">
        <x:v>National Laboratory of the Rockies</x:v>
      </x:c>
      <x:c r="C65" s="13" t="str">
        <x:v>Graduate Intern - AI/ML for Cybersecurity</x:v>
      </x:c>
      <x:c r="D65" s="13" t="str">
        <x:v>AI / Cybersecurity Research</x:v>
      </x:c>
      <x:c r="E65" s="13" t="str">
        <x:v>Golden, CO / Remote site</x:v>
      </x:c>
      <x:c r="F65" s="13" t="str">
        <x:v>Graduate Internship</x:v>
      </x:c>
      <x:c r="G65" s="13" t="str">
        <x:v>Good</x:v>
      </x:c>
      <x:c r="H65" s="13" t="str">
        <x:v>⚠️ No citizenship flag on live board; verify exact work authorization</x:v>
      </x:c>
      <x:c r="I65" s="13" t="str">
        <x:v>Graduate cyber/AI research role</x:v>
      </x:c>
      <x:c r="J65" s="13" t="str">
        <x:v>Not listed</x:v>
      </x:c>
      <x:c r="K65" s="13" t="str">
        <x:v>https://github.com/HackedRico/2027-cyber-jobs</x:v>
      </x:c>
      <x:c r="L65" s="13" t="str">
        <x:v>https://www.google.com/search?q=National+Laboratory+of+the+Rockies+%22Graduate+Intern+AI+ML+for+Cybersecurity%22+careers</x:v>
      </x:c>
      <x:c r="M65" s="13" t="str">
        <x:v>2026-10-26</x:v>
      </x:c>
      <x:c r="N65" s="13" t="str">
        <x:v>Not Applied</x:v>
      </x:c>
      <x:c r="O65" s="13" t="str"/>
      <x:c r="P65" s="13" t="str"/>
    </x:row>
    <x:row r="66">
      <x:c r="A66" s="13" t="str">
        <x:v>⭐ Strong Fit</x:v>
      </x:c>
      <x:c r="B66" s="13" t="str">
        <x:v>National Laboratory of the Rockies</x:v>
      </x:c>
      <x:c r="C66" s="13" t="str">
        <x:v>Undergraduate / Graduate Intern - Cyber Security Research – 5G</x:v>
      </x:c>
      <x:c r="D66" s="13" t="str">
        <x:v>Cybersecurity Research / 5G</x:v>
      </x:c>
      <x:c r="E66" s="13" t="str">
        <x:v>Golden, CO</x:v>
      </x:c>
      <x:c r="F66" s="13" t="str">
        <x:v>Spring / Summer Internship</x:v>
      </x:c>
      <x:c r="G66" s="13" t="str">
        <x:v>Good</x:v>
      </x:c>
      <x:c r="H66" s="13" t="str">
        <x:v>⚠️ No citizenship flag on live board; verify exact work authorization</x:v>
      </x:c>
      <x:c r="I66" s="13" t="str">
        <x:v>Explicit undergraduate/graduate cyber research internship</x:v>
      </x:c>
      <x:c r="J66" s="13" t="str">
        <x:v>Not listed</x:v>
      </x:c>
      <x:c r="K66" s="13" t="str">
        <x:v>https://github.com/HackedRico/2027-cyber-jobs</x:v>
      </x:c>
      <x:c r="L66" s="13" t="str">
        <x:v>https://www.google.com/search?q=National+Laboratory+of+the+Rockies+%22Cyber+Security+Research+5G+Intern%22+careers</x:v>
      </x:c>
      <x:c r="M66" s="13" t="str">
        <x:v>2026-10-26</x:v>
      </x:c>
      <x:c r="N66" s="13" t="str">
        <x:v>Not Applied</x:v>
      </x:c>
      <x:c r="O66" s="13" t="str"/>
      <x:c r="P66" s="13" t="str"/>
    </x:row>
    <x:row r="67">
      <x:c r="A67" t="str">
        <x:v>🔥 Apply First</x:v>
      </x:c>
      <x:c r="B67" t="str">
        <x:v>Snowflake</x:v>
      </x:c>
      <x:c r="C67" t="str">
        <x:v>Security Incident Response Engineer</x:v>
      </x:c>
      <x:c r="D67" t="str">
        <x:v>Incident Response / SecOps</x:v>
      </x:c>
      <x:c r="E67" t="str">
        <x:v>Remote California / Bay Area</x:v>
      </x:c>
      <x:c r="F67" t="str">
        <x:v>Mid (2+ years preferred)</x:v>
      </x:c>
      <x:c r="G67" t="str">
        <x:v>Excellent</x:v>
      </x:c>
      <x:c r="H67" t="str">
        <x:v>🟢 Company H-1B history; exact-role sponsorship not guaranteed</x:v>
      </x:c>
      <x:c r="I67" t="str">
        <x:v>IBM SIEM + incident triage + Python automation map directly; role prefers 2+ years IR/SecOps.</x:v>
      </x:c>
      <x:c r="J67" t="str">
        <x:v>$143K–$205.8K</x:v>
      </x:c>
      <x:c r="K67" t="str">
        <x:v>https://careers.snowflake.com/us/en/job/7139a002-dbe3-4693-8cbc-5b780db1d29d/Incident-Response-Engineer</x:v>
      </x:c>
      <x:c r="L67" t="str">
        <x:v>https://alion.io/job/snowflake-incident-response-engineer</x:v>
      </x:c>
      <x:c r="M67" t="str">
        <x:v>2026-10-26</x:v>
      </x:c>
      <x:c r="N67" t="str">
        <x:v>Not Applied</x:v>
      </x:c>
      <x:c r="O67" t="str"/>
      <x:c r="P67" t="str"/>
    </x:row>
    <x:row r="68">
      <x:c r="A68" t="str">
        <x:v>🔥 Apply First</x:v>
      </x:c>
      <x:c r="B68" t="str">
        <x:v>Google</x:v>
      </x:c>
      <x:c r="C68" t="str">
        <x:v>Cyber Defense Detection Engineer, Mandiant, Google Cloud</x:v>
      </x:c>
      <x:c r="D68" t="str">
        <x:v>Detection Engineering / SIEM</x:v>
      </x:c>
      <x:c r="E68" t="str">
        <x:v>Remote US / Ohio</x:v>
      </x:c>
      <x:c r="F68" t="str">
        <x:v>Mid (3 years)</x:v>
      </x:c>
      <x:c r="G68" t="str">
        <x:v>Excellent</x:v>
      </x:c>
      <x:c r="H68" t="str">
        <x:v>🟢 Strong H-1B sponsor history</x:v>
      </x:c>
      <x:c r="I68" t="str">
        <x:v>3 years detection tuning/SIEM content + Python; strong match to Splunk/QRadar, tuning and automation.</x:v>
      </x:c>
      <x:c r="J68" t="str">
        <x:v>$112K–$161K</x:v>
      </x:c>
      <x:c r="K68" t="str">
        <x:v>https://simplify.jobs/p/e55468fd-684d-450a-9df2-1d8baaa6d7f5/Cyber-Defense-Detection-Engineer</x:v>
      </x:c>
      <x:c r="L68" t="str">
        <x:v>https://www.h1b-connect.com/jobs/post/6ad0962810a2af8f8f6401bc</x:v>
      </x:c>
      <x:c r="M68" t="str">
        <x:v>2026-10-26</x:v>
      </x:c>
      <x:c r="N68" t="str">
        <x:v>Not Applied</x:v>
      </x:c>
      <x:c r="O68" t="str"/>
      <x:c r="P68" t="str"/>
    </x:row>
    <x:row r="69">
      <x:c r="A69" t="str">
        <x:v>🔥 Apply First</x:v>
      </x:c>
      <x:c r="B69" t="str">
        <x:v>Google</x:v>
      </x:c>
      <x:c r="C69" t="str">
        <x:v>Security Engineer II, Core, Enterprise Access Security Engineering</x:v>
      </x:c>
      <x:c r="D69" t="str">
        <x:v>Security Engineering / IAM</x:v>
      </x:c>
      <x:c r="E69" t="str">
        <x:v>San Jose, CA</x:v>
      </x:c>
      <x:c r="F69" t="str">
        <x:v>Mid (1+ year)</x:v>
      </x:c>
      <x:c r="G69" t="str">
        <x:v>Excellent</x:v>
      </x:c>
      <x:c r="H69" t="str">
        <x:v>🟢 Elite H-1B sponsor history</x:v>
      </x:c>
      <x:c r="I69" t="str">
        <x:v>Security analysis, network security, automation and access-policy work fit her IBM security engineering background.</x:v>
      </x:c>
      <x:c r="J69" t="str">
        <x:v>$123K–$174K</x:v>
      </x:c>
      <x:c r="K69" t="str">
        <x:v>https://www.h1b-connect.com/jobs/post/6ad0ac2610a2af8f8f6406e2</x:v>
      </x:c>
      <x:c r="L69" t="str">
        <x:v>https://www.h1b-connect.com/jobs/post/6ad0ac2610a2af8f8f6406e2</x:v>
      </x:c>
      <x:c r="M69" t="str">
        <x:v>2026-10-26</x:v>
      </x:c>
      <x:c r="N69" t="str">
        <x:v>Not Applied</x:v>
      </x:c>
      <x:c r="O69" t="str"/>
      <x:c r="P69" t="str"/>
    </x:row>
    <x:row r="70">
      <x:c r="A70" t="str">
        <x:v>🔥 Apply First</x:v>
      </x:c>
      <x:c r="B70" t="str">
        <x:v>Google</x:v>
      </x:c>
      <x:c r="C70" t="str">
        <x:v>Security Engineer III, Cloud Security Controls</x:v>
      </x:c>
      <x:c r="D70" t="str">
        <x:v>Cloud Security Engineering</x:v>
      </x:c>
      <x:c r="E70" t="str">
        <x:v>New York, NY / San Jose, CA</x:v>
      </x:c>
      <x:c r="F70" t="str">
        <x:v>Mid (2+ years)</x:v>
      </x:c>
      <x:c r="G70" t="str">
        <x:v>Excellent</x:v>
      </x:c>
      <x:c r="H70" t="str">
        <x:v>🟢 Strong H-1B sponsor history</x:v>
      </x:c>
      <x:c r="I70" t="str">
        <x:v>2 years security assessments/design reviews + security engineering + coding; her cloud/on-prem security and Python experience are relevant.</x:v>
      </x:c>
      <x:c r="J70" t="str">
        <x:v>Not listed</x:v>
      </x:c>
      <x:c r="K70" t="str">
        <x:v>https://www.google.com/about/careers/applications/jobs/results/136535844847526598-security-engineer-iii-cloud-security-controls</x:v>
      </x:c>
      <x:c r="L70" t="str">
        <x:v>https://www.google.com/about/careers/applications/jobs/results/136535844847526598-security-engineer-iii-cloud-security-controls</x:v>
      </x:c>
      <x:c r="M70" t="str">
        <x:v>2026-10-26</x:v>
      </x:c>
      <x:c r="N70" t="str">
        <x:v>Not Applied</x:v>
      </x:c>
      <x:c r="O70" t="str"/>
      <x:c r="P70" t="str"/>
    </x:row>
    <x:row r="71">
      <x:c r="A71" t="str">
        <x:v>🔥 Apply First</x:v>
      </x:c>
      <x:c r="B71" t="str">
        <x:v>Microsoft</x:v>
      </x:c>
      <x:c r="C71" t="str">
        <x:v>Security Operations Engineer - Cloud Security</x:v>
      </x:c>
      <x:c r="D71" t="str">
        <x:v>Cloud Security / SecOps</x:v>
      </x:c>
      <x:c r="E71" t="str">
        <x:v>Redmond, WA</x:v>
      </x:c>
      <x:c r="F71" t="str">
        <x:v>Mid / Master's entry (1+ year)</x:v>
      </x:c>
      <x:c r="G71" t="str">
        <x:v>Excellent</x:v>
      </x:c>
      <x:c r="H71" t="str">
        <x:v>🟢 H-1B sponsorship source available</x:v>
      </x:c>
      <x:c r="I71" t="str">
        <x:v>Master's + 1 year accepted; SOC, SIEM, incident response and cloud operations align closely.</x:v>
      </x:c>
      <x:c r="J71" t="str">
        <x:v>$102.1K–$219.2K</x:v>
      </x:c>
      <x:c r="K71" t="str">
        <x:v>https://www.h1b-connect.com/jobs/post/6adb2a89395b74cab2e4ecbb</x:v>
      </x:c>
      <x:c r="L71" t="str">
        <x:v>https://www.h1b-connect.com/jobs/post/6adb2a89395b74cab2e4ecbb</x:v>
      </x:c>
      <x:c r="M71" t="str">
        <x:v>2026-10-26</x:v>
      </x:c>
      <x:c r="N71" t="str">
        <x:v>Not Applied</x:v>
      </x:c>
      <x:c r="O71" t="str"/>
      <x:c r="P71" t="str"/>
    </x:row>
    <x:row r="72">
      <x:c r="A72" t="str">
        <x:v>🔥 Apply First</x:v>
      </x:c>
      <x:c r="B72" t="str">
        <x:v>Deloitte</x:v>
      </x:c>
      <x:c r="C72" t="str">
        <x:v>Cyber Operate Detection Engineer - Consultant</x:v>
      </x:c>
      <x:c r="D72" t="str">
        <x:v>Detection Engineering / SOC</x:v>
      </x:c>
      <x:c r="E72" t="str">
        <x:v>Atlanta, GA</x:v>
      </x:c>
      <x:c r="F72" t="str">
        <x:v>Mid (2+ years)</x:v>
      </x:c>
      <x:c r="G72" t="str">
        <x:v>Excellent</x:v>
      </x:c>
      <x:c r="H72" t="str">
        <x:v>✅ H1B sponsorship available</x:v>
      </x:c>
      <x:c r="I72" t="str">
        <x:v>2+ years cyber/SOC/threat-intel experience; Atlanta; detection engineering is a direct fit for SIEM tuning and automation.</x:v>
      </x:c>
      <x:c r="J72" t="str">
        <x:v>$82.6K–$162.8K</x:v>
      </x:c>
      <x:c r="K72" t="str">
        <x:v>https://simplify.jobs/p/c5204b3a-626a-4b1e-983b-cc384017e5ce/Cyber-Operate-Detection-Engineer</x:v>
      </x:c>
      <x:c r="L72" t="str">
        <x:v>https://simplify.jobs/p/c5204b3a-626a-4b1e-983b-cc384017e5ce/Cyber-Operate-Detection-Engineer</x:v>
      </x:c>
      <x:c r="M72" t="str">
        <x:v>2026-10-26</x:v>
      </x:c>
      <x:c r="N72" t="str">
        <x:v>Not Applied</x:v>
      </x:c>
      <x:c r="O72" t="str"/>
      <x:c r="P72" t="str"/>
    </x:row>
    <x:row r="73">
      <x:c r="A73" t="str">
        <x:v>🔥 Apply First</x:v>
      </x:c>
      <x:c r="B73" t="str">
        <x:v>Deloitte</x:v>
      </x:c>
      <x:c r="C73" t="str">
        <x:v>Cyber-AI Cloud Security Engineer</x:v>
      </x:c>
      <x:c r="D73" t="str">
        <x:v>Cloud / AI Security</x:v>
      </x:c>
      <x:c r="E73" t="str">
        <x:v>Atlanta, GA</x:v>
      </x:c>
      <x:c r="F73" t="str">
        <x:v>Junior/Mid (2+ years)</x:v>
      </x:c>
      <x:c r="G73" t="str">
        <x:v>Excellent</x:v>
      </x:c>
      <x:c r="H73" t="str">
        <x:v>✅ H1B sponsorship available</x:v>
      </x:c>
      <x:c r="I73" t="str">
        <x:v>2+ years cyber/cloud/appsec accepted; combines her security background with graduate-level cybersecurity.</x:v>
      </x:c>
      <x:c r="J73" t="str">
        <x:v>$82.6K–$162.8K</x:v>
      </x:c>
      <x:c r="K73" t="str">
        <x:v>https://simplify.jobs/p/c19d16ef-6f7c-4aaa-8e1f-213f733bd4f5/Cyber-AI-Cloud-Security-Engineer</x:v>
      </x:c>
      <x:c r="L73" t="str">
        <x:v>https://simplify.jobs/p/c19d16ef-6f7c-4aaa-8e1f-213f733bd4f5/Cyber-AI-Cloud-Security-Engineer</x:v>
      </x:c>
      <x:c r="M73" t="str">
        <x:v>2026-10-26</x:v>
      </x:c>
      <x:c r="N73" t="str">
        <x:v>Not Applied</x:v>
      </x:c>
      <x:c r="O73" t="str"/>
      <x:c r="P73" t="str"/>
    </x:row>
    <x:row r="74">
      <x:c r="A74" t="str">
        <x:v>🔥 Apply First</x:v>
      </x:c>
      <x:c r="B74" t="str">
        <x:v>Deloitte</x:v>
      </x:c>
      <x:c r="C74" t="str">
        <x:v>CIAM Security Engineer / Consultant</x:v>
      </x:c>
      <x:c r="D74" t="str">
        <x:v>IAM / Application Security</x:v>
      </x:c>
      <x:c r="E74" t="str">
        <x:v>Atlanta, GA / Remote</x:v>
      </x:c>
      <x:c r="F74" t="str">
        <x:v>Junior/Mid (2+ years)</x:v>
      </x:c>
      <x:c r="G74" t="str">
        <x:v>Excellent</x:v>
      </x:c>
      <x:c r="H74" t="str">
        <x:v>✅ Limited immigration sponsorship may be available</x:v>
      </x:c>
      <x:c r="I74" t="str">
        <x:v>2 years industry + IAM/API security; good match to auth concepts, secure SDLC and security engineering.</x:v>
      </x:c>
      <x:c r="J74" t="str">
        <x:v>$82.6K–$162.8K</x:v>
      </x:c>
      <x:c r="K74" t="str">
        <x:v>https://simplify.jobs/p/b9c7e1c1-7f31-4d60-8375-7832cd0ff3e6/Security-Engineer</x:v>
      </x:c>
      <x:c r="L74" t="str">
        <x:v>https://simplify.jobs/p/b9c7e1c1-7f31-4d60-8375-7832cd0ff3e6/Security-Engineer</x:v>
      </x:c>
      <x:c r="M74" t="str">
        <x:v>2026-10-26</x:v>
      </x:c>
      <x:c r="N74" t="str">
        <x:v>Not Applied</x:v>
      </x:c>
      <x:c r="O74" t="str"/>
      <x:c r="P74" t="str"/>
    </x:row>
    <x:row r="75">
      <x:c r="A75" t="str">
        <x:v>🔥 Apply First</x:v>
      </x:c>
      <x:c r="B75" t="str">
        <x:v>Travelers</x:v>
      </x:c>
      <x:c r="C75" t="str">
        <x:v>Cybersecurity Ops Technologist I - Splunk SIEM Engineer</x:v>
      </x:c>
      <x:c r="D75" t="str">
        <x:v>SIEM / Detection Engineering</x:v>
      </x:c>
      <x:c r="E75" t="str">
        <x:v>Atlanta, GA</x:v>
      </x:c>
      <x:c r="F75" t="str">
        <x:v>Mid (2-year minimum)</x:v>
      </x:c>
      <x:c r="G75" t="str">
        <x:v>Excellent</x:v>
      </x:c>
      <x:c r="H75" t="str">
        <x:v>⚠️ No explicit no-sponsorship language found; verify exact-role sponsorship</x:v>
      </x:c>
      <x:c r="I75" t="str">
        <x:v>Almost tailor-made: Splunk/SIEM, Python, AWS, SOC workflows, alert/detection optimization.</x:v>
      </x:c>
      <x:c r="J75" t="str">
        <x:v>$99.1K–$163.4K</x:v>
      </x:c>
      <x:c r="K75" t="str">
        <x:v>https://travelers.wd5.myworkdayjobs.com/External/job/CT---Hartford/Cybersecurity-Ops-Technologist---Splunk-SIEM-Engineer_R-51597</x:v>
      </x:c>
      <x:c r="L75" t="str">
        <x:v>https://careers.travelers.com/job/23629482/</x:v>
      </x:c>
      <x:c r="M75" t="str">
        <x:v>2026-10-26</x:v>
      </x:c>
      <x:c r="N75" t="str">
        <x:v>Not Applied</x:v>
      </x:c>
      <x:c r="O75" t="str"/>
      <x:c r="P75" t="str"/>
    </x:row>
    <x:row r="76">
      <x:c r="A76" t="str">
        <x:v>🔥 Apply First</x:v>
      </x:c>
      <x:c r="B76" t="str">
        <x:v>Axon</x:v>
      </x:c>
      <x:c r="C76" t="str">
        <x:v>Security Operations Engineer II</x:v>
      </x:c>
      <x:c r="D76" t="str">
        <x:v>Security Operations / Automation</x:v>
      </x:c>
      <x:c r="E76" t="str">
        <x:v>Scottsdale, AZ / Washington</x:v>
      </x:c>
      <x:c r="F76" t="str">
        <x:v>Mid (2+ years)</x:v>
      </x:c>
      <x:c r="G76" t="str">
        <x:v>Excellent</x:v>
      </x:c>
      <x:c r="H76" t="str">
        <x:v>🟢 Likely H-1B sponsor; substantial recent filing history</x:v>
      </x:c>
      <x:c r="I76" t="str">
        <x:v>2+ years SecOps/detection; Python, SIEM/SOAR, APIs, IR and automation fit very closely.</x:v>
      </x:c>
      <x:c r="J76" t="str">
        <x:v>$96K–$153.6K</x:v>
      </x:c>
      <x:c r="K76" t="str">
        <x:v>https://job-boards.greenhouse.io/axon/jobs/8033215003</x:v>
      </x:c>
      <x:c r="L76" t="str">
        <x:v>https://theopenbound.com/jobs/fc93a0f8-eac9-4799-aefc-82d643ce2e72</x:v>
      </x:c>
      <x:c r="M76" t="str">
        <x:v>2026-10-26</x:v>
      </x:c>
      <x:c r="N76" t="str">
        <x:v>Not Applied</x:v>
      </x:c>
      <x:c r="O76" t="str"/>
      <x:c r="P76" t="str"/>
    </x:row>
    <x:row r="77">
      <x:c r="A77" t="str">
        <x:v>🔥 Apply First</x:v>
      </x:c>
      <x:c r="B77" t="str">
        <x:v>Amazon / AWS</x:v>
      </x:c>
      <x:c r="C77" t="str">
        <x:v>Application Security Engineer</x:v>
      </x:c>
      <x:c r="D77" t="str">
        <x:v>Application Security</x:v>
      </x:c>
      <x:c r="E77" t="str">
        <x:v>Arlington, VA</x:v>
      </x:c>
      <x:c r="F77" t="str">
        <x:v>Mid (2+ years)</x:v>
      </x:c>
      <x:c r="G77" t="str">
        <x:v>Excellent</x:v>
      </x:c>
      <x:c r="H77" t="str">
        <x:v>🟢 Strong H-1B sponsor history</x:v>
      </x:c>
      <x:c r="I77" t="str">
        <x:v>Her OWASP/secure SDLC, Python and security review experience align with AWS AppSec requirements.</x:v>
      </x:c>
      <x:c r="J77" t="str">
        <x:v>$159.3K–$202.4K</x:v>
      </x:c>
      <x:c r="K77" t="str">
        <x:v>https://www.h1b-connect.com/jobs/post/6ad0a27710a2af8f8f64047f</x:v>
      </x:c>
      <x:c r="L77" t="str">
        <x:v>https://www.h1b-connect.com/jobs/post/6ad0a27710a2af8f8f64047f</x:v>
      </x:c>
      <x:c r="M77" t="str">
        <x:v>2026-10-26</x:v>
      </x:c>
      <x:c r="N77" t="str">
        <x:v>Not Applied</x:v>
      </x:c>
      <x:c r="O77" t="str"/>
      <x:c r="P77" t="str"/>
    </x:row>
    <x:row r="78">
      <x:c r="A78" t="str">
        <x:v>⭐ Strong Fit</x:v>
      </x:c>
      <x:c r="B78" t="str">
        <x:v>Amazon</x:v>
      </x:c>
      <x:c r="C78" t="str">
        <x:v>Security Engineer II, CLS Application Security</x:v>
      </x:c>
      <x:c r="D78" t="str">
        <x:v>Application Security / Automation</x:v>
      </x:c>
      <x:c r="E78" t="str">
        <x:v>Irvine, CA</x:v>
      </x:c>
      <x:c r="F78" t="str">
        <x:v>Mid (2+ years)</x:v>
      </x:c>
      <x:c r="G78" t="str">
        <x:v>Strong</x:v>
      </x:c>
      <x:c r="H78" t="str">
        <x:v>🟢 Strong H-1B sponsor history</x:v>
      </x:c>
      <x:c r="I78" t="str">
        <x:v>2+ years scripting/programming/security code review; OWASP/secure SDLC + Python are relevant.</x:v>
      </x:c>
      <x:c r="J78" t="str">
        <x:v>$159.3K–$202.4K</x:v>
      </x:c>
      <x:c r="K78" t="str">
        <x:v>https://www.h1b-connect.com/jobs/post/6abe240389b047a2c8f20048</x:v>
      </x:c>
      <x:c r="L78" t="str">
        <x:v>https://www.h1b-connect.com/jobs/post/6abe240389b047a2c8f20048</x:v>
      </x:c>
      <x:c r="M78" t="str">
        <x:v>2026-10-26</x:v>
      </x:c>
      <x:c r="N78" t="str">
        <x:v>Not Applied</x:v>
      </x:c>
      <x:c r="O78" t="str"/>
      <x:c r="P78" t="str"/>
    </x:row>
    <x:row r="79">
      <x:c r="A79" t="str">
        <x:v>⭐ Strong Fit</x:v>
      </x:c>
      <x:c r="B79" t="str">
        <x:v>Amazon / AWS</x:v>
      </x:c>
      <x:c r="C79" t="str">
        <x:v>Application Security Engineer, AWS Proactive Security</x:v>
      </x:c>
      <x:c r="D79" t="str">
        <x:v>Application Security</x:v>
      </x:c>
      <x:c r="E79" t="str">
        <x:v>Austin, TX</x:v>
      </x:c>
      <x:c r="F79" t="str">
        <x:v>Mid (3+ years across security domains)</x:v>
      </x:c>
      <x:c r="G79" t="str">
        <x:v>Strong / Stretch</x:v>
      </x:c>
      <x:c r="H79" t="str">
        <x:v>🟢 Strong H-1B sponsor history</x:v>
      </x:c>
      <x:c r="I79" t="str">
        <x:v>Her multi-domain IBM background makes this plausible; strongest if her current resume shows deeper AppSec work.</x:v>
      </x:c>
      <x:c r="J79" t="str">
        <x:v>$159.3K–$202.4K</x:v>
      </x:c>
      <x:c r="K79" t="str">
        <x:v>https://www.h1b-connect.com/jobs/post/6ad730ff18359e4f71191dcc</x:v>
      </x:c>
      <x:c r="L79" t="str">
        <x:v>https://www.h1b-connect.com/jobs/post/6ad730ff18359e4f71191dcc</x:v>
      </x:c>
      <x:c r="M79" t="str">
        <x:v>2026-10-26</x:v>
      </x:c>
      <x:c r="N79" t="str">
        <x:v>Not Applied</x:v>
      </x:c>
      <x:c r="O79" t="str"/>
      <x:c r="P79" t="str"/>
    </x:row>
    <x:row r="80">
      <x:c r="A80" t="str">
        <x:v>🔥 Apply First</x:v>
      </x:c>
      <x:c r="B80" t="str">
        <x:v>DoorDash</x:v>
      </x:c>
      <x:c r="C80" t="str">
        <x:v>Detection Engineer - Protective Services</x:v>
      </x:c>
      <x:c r="D80" t="str">
        <x:v>Detection Engineering / Threat Hunting</x:v>
      </x:c>
      <x:c r="E80" t="str">
        <x:v>Remote US</x:v>
      </x:c>
      <x:c r="F80" t="str">
        <x:v>Mid (3+ years)</x:v>
      </x:c>
      <x:c r="G80" t="str">
        <x:v>Excellent</x:v>
      </x:c>
      <x:c r="H80" t="str">
        <x:v>🟢 Company historically sponsors H-1B</x:v>
      </x:c>
      <x:c r="I80" t="str">
        <x:v>3+ years detection/IR/SecOps; Python and SIEM experience strongly match.</x:v>
      </x:c>
      <x:c r="J80" t="str">
        <x:v>$130.6K–$192K</x:v>
      </x:c>
      <x:c r="K80" t="str">
        <x:v>https://simplify.jobs/p/396f6c47-857d-426a-ba8b-d7773daee51a/Detection-Engineer</x:v>
      </x:c>
      <x:c r="L80" t="str">
        <x:v>https://simplify.jobs/p/396f6c47-857d-426a-ba8b-d7773daee51a/Detection-Engineer</x:v>
      </x:c>
      <x:c r="M80" t="str">
        <x:v>2026-10-26</x:v>
      </x:c>
      <x:c r="N80" t="str">
        <x:v>Not Applied</x:v>
      </x:c>
      <x:c r="O80" t="str"/>
      <x:c r="P80" t="str"/>
    </x:row>
    <x:row r="81">
      <x:c r="A81" t="str">
        <x:v>⭐ Strong Fit</x:v>
      </x:c>
      <x:c r="B81" t="str">
        <x:v>Morgan Stanley</x:v>
      </x:c>
      <x:c r="C81" t="str">
        <x:v>Senior Detection Engineer</x:v>
      </x:c>
      <x:c r="D81" t="str">
        <x:v>Detection Engineering / Threat Hunting</x:v>
      </x:c>
      <x:c r="E81" t="str">
        <x:v>Baltimore, MD</x:v>
      </x:c>
      <x:c r="F81" t="str">
        <x:v>Mid (4+ years)</x:v>
      </x:c>
      <x:c r="G81" t="str">
        <x:v>Strong / Stretch</x:v>
      </x:c>
      <x:c r="H81" t="str">
        <x:v>🟢 H-1B sponsorship source available</x:v>
      </x:c>
      <x:c r="I81" t="str">
        <x:v>Despite 'Senior' title, minimum is 4 years; SIEM, incident response, Python and detection work map well.</x:v>
      </x:c>
      <x:c r="J81" t="str">
        <x:v>$85K–$150K</x:v>
      </x:c>
      <x:c r="K81" t="str">
        <x:v>https://www.h1b-connect.com/jobs/post/6ad731af18359e4f71191ded</x:v>
      </x:c>
      <x:c r="L81" t="str">
        <x:v>https://www.h1b-connect.com/jobs/post/6ad731af18359e4f71191ded</x:v>
      </x:c>
      <x:c r="M81" t="str">
        <x:v>2026-10-26</x:v>
      </x:c>
      <x:c r="N81" t="str">
        <x:v>Not Applied</x:v>
      </x:c>
      <x:c r="O81" t="str"/>
      <x:c r="P81" t="str"/>
    </x:row>
    <x:row r="82">
      <x:c r="A82" t="str">
        <x:v>🔥 Apply First</x:v>
      </x:c>
      <x:c r="B82" t="str">
        <x:v>Credit Acceptance</x:v>
      </x:c>
      <x:c r="C82" t="str">
        <x:v>Security Operations Engineer 2</x:v>
      </x:c>
      <x:c r="D82" t="str">
        <x:v>Security Operations / Automation</x:v>
      </x:c>
      <x:c r="E82" t="str">
        <x:v>United States</x:v>
      </x:c>
      <x:c r="F82" t="str">
        <x:v>Mid (2+ years)</x:v>
      </x:c>
      <x:c r="G82" t="str">
        <x:v>Excellent</x:v>
      </x:c>
      <x:c r="H82" t="str">
        <x:v>⚠️ No explicit no-sponsorship blocker found; verify exact-role sponsorship</x:v>
      </x:c>
      <x:c r="I82" t="str">
        <x:v>2+ years; triage, SIEM/EDR/WAF, scripting/APIs and automation strongly match IBM experience.</x:v>
      </x:c>
      <x:c r="J82" t="str">
        <x:v>$84.7K–$124.2K</x:v>
      </x:c>
      <x:c r="K82" t="str">
        <x:v>https://simplify.jobs/p/63a5fae6-6bbf-461f-8cf6-57a76f4a7d6c/Security-Operations-Engineer-2</x:v>
      </x:c>
      <x:c r="L82" t="str">
        <x:v>https://simplify.jobs/p/63a5fae6-6bbf-461f-8cf6-57a76f4a7d6c/Security-Operations-Engineer-2</x:v>
      </x:c>
      <x:c r="M82" t="str">
        <x:v>2026-10-26</x:v>
      </x:c>
      <x:c r="N82" t="str">
        <x:v>Not Applied</x:v>
      </x:c>
      <x:c r="O82" t="str"/>
      <x:c r="P82" t="str"/>
    </x:row>
  </x:sheetData>
  <x:conditionalFormatting sqref="A2:A200">
    <x:cfRule type="expression" dxfId="0" priority="1">
      <x:formula>A2="🔥 Apply First"</x:formula>
    </x:cfRule>
  </x:conditionalFormatting>
  <x:conditionalFormatting sqref="H2:H200">
    <x:cfRule type="expression" dxfId="1" priority="2">
      <x:formula>LEFT(H2,1)="✅"</x:formula>
    </x:cfRule>
    <x:cfRule type="expression" dxfId="2" priority="3">
      <x:formula>LEFT(H2,1)="⚠"</x:formula>
    </x:cfRule>
  </x:conditionalFormatting>
  <x:conditionalFormatting sqref="N2:N200">
    <x:cfRule type="expression" dxfId="3" priority="4">
      <x:formula>N2="Offer"</x:formula>
    </x:cfRule>
    <x:cfRule type="expression" dxfId="4" priority="5">
      <x:formula>N2="Interview"</x:formula>
    </x:cfRule>
    <x:cfRule type="expression" dxfId="5" priority="6">
      <x:formula>N2="Rejected"</x:formula>
    </x:cfRule>
  </x:conditionalFormatting>
  <x:dataValidations count="1">
    <x:dataValidation type="list" sqref="N2:N200">
      <x:formula1>"Not Applied,Applied,OA,Interview,Rejected,Offer"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fc4d02ae1741e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46" hidden="0" customWidth="1"/>
    <x:col min="3" max="3" width="68" hidden="0" customWidth="1"/>
    <x:col min="4" max="4" width="44" hidden="0" customWidth="1"/>
  </x:cols>
  <x:sheetData>
    <x:row r="1">
      <x:c r="A1" s="28" t="str">
        <x:v>Company</x:v>
      </x:c>
      <x:c r="B1" s="28" t="str">
        <x:v>Role</x:v>
      </x:c>
      <x:c r="C1" s="28" t="str">
        <x:v>Why Removed</x:v>
      </x:c>
      <x:c r="D1" s="28" t="str">
        <x:v>Source</x:v>
      </x:c>
    </x:row>
    <x:row r="2">
      <x:c r="A2" s="13" t="str">
        <x:v>TherapyNotes</x:v>
      </x:c>
      <x:c r="B2" s="13" t="str">
        <x:v>Cyber Security Engineer (Application Security)</x:v>
      </x:c>
      <x:c r="C2" s="13" t="str">
        <x:v>Live, but asks for 5+ years of application/security engineering experience.</x:v>
      </x:c>
      <x:c r="D2" s="13" t="str">
        <x:v>https://www.indeed.com/</x:v>
      </x:c>
    </x:row>
    <x:row r="3">
      <x:c r="A3" s="13" t="str">
        <x:v>Curana Health</x:v>
      </x:c>
      <x:c r="B3" s="13" t="str">
        <x:v>GRC Security Analyst</x:v>
      </x:c>
      <x:c r="C3" s="13" t="str">
        <x:v>Posting explicitly says the company is unable to provide visa sponsorship; also asks for 2–5 years.</x:v>
      </x:c>
      <x:c r="D3" s="13" t="str">
        <x:v>https://www.indeed.com/</x:v>
      </x:c>
    </x:row>
    <x:row r="4">
      <x:c r="A4" s="13" t="str">
        <x:v>CoStar</x:v>
      </x:c>
      <x:c r="B4" s="13" t="str">
        <x:v>Security Engineer Intern - Richmond, VA</x:v>
      </x:c>
      <x:c r="C4" s="13" t="str">
        <x:v>Requires graduation Dec 2027–Jun 2028, return to school after Summer 2027, and says no visa sponsorship.</x:v>
      </x:c>
      <x:c r="D4" s="13" t="str">
        <x:v>https://www.ziprecruiter.com/</x:v>
      </x:c>
    </x:row>
    <x:row r="5">
      <x:c r="A5" s="13" t="str">
        <x:v>CoStar</x:v>
      </x:c>
      <x:c r="B5" s="13" t="str">
        <x:v>Security Engineer Intern - Arlington, VA</x:v>
      </x:c>
      <x:c r="C5" s="13" t="str">
        <x:v>Same 2027–2028 graduation / return-to-school requirement and no-sponsorship issue.</x:v>
      </x:c>
      <x:c r="D5" s="13" t="str">
        <x:v>https://www.ziprecruiter.com/</x:v>
      </x:c>
    </x:row>
    <x:row r="6">
      <x:c r="A6" s="13" t="str">
        <x:v>Guidehouse</x:v>
      </x:c>
      <x:c r="B6" s="13" t="str">
        <x:v>IT Cybersecurity Compliance Technical Associate - Campus 2027</x:v>
      </x:c>
      <x:c r="C6" s="13" t="str">
        <x:v>Timing fits, but current audit sources flag H-1B sponsorship as unavailable / role is now citizenship-sensitive on the live cyber board.</x:v>
      </x:c>
      <x:c r="D6" s="13" t="str">
        <x:v>https://careers.guidehouse.com/</x:v>
      </x:c>
    </x:row>
    <x:row r="7">
      <x:c r="A7" s="13" t="str">
        <x:v>Citi</x:v>
      </x:c>
      <x:c r="B7" s="13" t="str">
        <x:v>Technology - Cyber Security, Full Time Analyst, Irving 2027</x:v>
      </x:c>
      <x:c r="C7" s="13" t="str">
        <x:v>Explicitly requires authorization without employer sponsorship now or in the future.</x:v>
      </x:c>
      <x:c r="D7" s="13" t="str">
        <x:v>https://jobs.citi.com/</x:v>
      </x:c>
    </x:row>
    <x:row r="8">
      <x:c r="A8" s="13" t="str">
        <x:v>The Cigna Group</x:v>
      </x:c>
      <x:c r="B8" s="13" t="str">
        <x:v>Technology Development Program - Cyber Security Track - July 2027</x:v>
      </x:c>
      <x:c r="C8" s="13" t="str">
        <x:v>Explicitly no current/future sponsorship, including OPT/CPT-related needs.</x:v>
      </x:c>
      <x:c r="D8" s="13" t="str">
        <x:v>https://jobs.thecignagroup.com/</x:v>
      </x:c>
    </x:row>
    <x:row r="9">
      <x:c r="A9" s="13" t="str">
        <x:v>American Express</x:v>
      </x:c>
      <x:c r="B9" s="13" t="str">
        <x:v>2027 Cybersecurity Analyst - Full-Time Associate</x:v>
      </x:c>
      <x:c r="C9" s="13" t="str">
        <x:v>Explicitly no visa sponsorship for these campus roles.</x:v>
      </x:c>
      <x:c r="D9" s="13" t="str">
        <x:v>https://www.americanexpress.com/en-us/careers/</x:v>
      </x:c>
    </x:row>
    <x:row r="10">
      <x:c r="A10" s="13" t="str">
        <x:v>RSM</x:v>
      </x:c>
      <x:c r="B10" s="13" t="str">
        <x:v>Technology Risk Consulting Associate - Summer 2027</x:v>
      </x:c>
      <x:c r="C10" s="13" t="str">
        <x:v>Explicitly says RSM does not intend to hire entry-level candidates who require sponsorship now or in future.</x:v>
      </x:c>
      <x:c r="D10" s="13" t="str">
        <x:v>https://rsm.wd1.myworkdayjobs.com/en-US/RSMCareers/job/Technology-Risk-Consulting-Associate---Summer-2027_JR117122</x:v>
      </x:c>
    </x:row>
    <x:row r="11">
      <x:c r="A11" s="13" t="str">
        <x:v>Grant Thornton</x:v>
      </x:c>
      <x:c r="B11" s="13" t="str">
        <x:v>Cybersecurity and Privacy Associate - Summer 2027</x:v>
      </x:c>
      <x:c r="C11" s="13" t="str">
        <x:v>Explicitly requires U.S. work authorization without current/future visa sponsorship.</x:v>
      </x:c>
      <x:c r="D11" s="13" t="str">
        <x:v>https://ehzq.fa.us2.oraclecloud.com/hcmUI/CandidateExperience/en/sites/CX_1/job/115751</x:v>
      </x:c>
    </x:row>
    <x:row r="12">
      <x:c r="A12" s="13" t="str">
        <x:v>Vanguard</x:v>
      </x:c>
      <x:c r="B12" s="13" t="str">
        <x:v>Technology Leadership Program - Risk &amp; Security (all Analyst/Engineering variants)</x:v>
      </x:c>
      <x:c r="C12" s="13" t="str">
        <x:v>Current postings say visa sponsorship is not offered.</x:v>
      </x:c>
      <x:c r="D12" s="13" t="str">
        <x:v>https://www.vanguardjobs.com/</x:v>
      </x:c>
    </x:row>
    <x:row r="13">
      <x:c r="A13" s="13" t="str">
        <x:v>LPL Financial</x:v>
      </x:c>
      <x:c r="B13" s="13" t="str">
        <x:v>New Grad 2027 - Cybersecurity Analyst</x:v>
      </x:c>
      <x:c r="C13" s="13" t="str">
        <x:v>Live and graduation-fit, but posting explicitly says early-career program cannot consider candidates requiring sponsorship now or in future.</x:v>
      </x:c>
      <x:c r="D13" s="13" t="str">
        <x:v>https://earlytechroles.com/jobs/new-grad-2027-cybersecurity-analyst-lpl-financial-holdings-aace314be9/</x:v>
      </x:c>
    </x:row>
    <x:row r="14">
      <x:c r="A14" s="13" t="str">
        <x:v>TNS</x:v>
      </x:c>
      <x:c r="B14" s="13" t="str">
        <x:v>Application Security Analyst I</x:v>
      </x:c>
      <x:c r="C14" s="13" t="str">
        <x:v>Live, but actual posting prefers 5+ years of AppSec / secure-development experience.</x:v>
      </x:c>
      <x:c r="D14" s="13" t="str">
        <x:v>https://earlytechroles.com/jobs/application-security-analyst-i-tns-a6abe70e68/</x:v>
      </x:c>
    </x:row>
    <x:row r="15">
      <x:c r="A15" s="13" t="str">
        <x:v>American Technology Services</x:v>
      </x:c>
      <x:c r="B15" s="13" t="str">
        <x:v>Associate Cybersecurity Analyst</x:v>
      </x:c>
      <x:c r="C15" s="13" t="str">
        <x:v>Associate title was misleading; exact page surfaced a 7-year SOC experience requirement.</x:v>
      </x:c>
      <x:c r="D15" s="13" t="str">
        <x:v>https://www.indeed.com/</x:v>
      </x:c>
    </x:row>
    <x:row r="16">
      <x:c r="A16" s="13" t="str">
        <x:v>Bright Machines</x:v>
      </x:c>
      <x:c r="B16" s="13" t="str">
        <x:v>Security Engineer</x:v>
      </x:c>
      <x:c r="C16" s="13" t="str">
        <x:v>Requires roughly 5+ years; not an entry-level/new-grad fit.</x:v>
      </x:c>
      <x:c r="D16" s="13" t="str">
        <x:v>https://www.ziprecruiter.com/</x:v>
      </x:c>
    </x:row>
    <x:row r="17">
      <x:c r="A17" s="13" t="str">
        <x:v>MyFitnessPal</x:v>
      </x:c>
      <x:c r="B17" s="13" t="str">
        <x:v>Application Security Engineer</x:v>
      </x:c>
      <x:c r="C17" s="13" t="str">
        <x:v>Engineer II / 2–4 years; removed from the core new-grad list.</x:v>
      </x:c>
      <x:c r="D17" s="13" t="str">
        <x:v>https://www.indeed.com/</x:v>
      </x:c>
    </x:row>
    <x:row r="18">
      <x:c r="A18" s="13" t="str">
        <x:v>Amazon</x:v>
      </x:c>
      <x:c r="B18" s="13" t="str">
        <x:v>Security Engineer I - AWS Proactive Security Team</x:v>
      </x:c>
      <x:c r="C18" s="13" t="str">
        <x:v>Live, but requires 2+ years of non-internship professional experience.</x:v>
      </x:c>
      <x:c r="D18" s="13" t="str">
        <x:v>https://www.amazon.jobs/</x:v>
      </x:c>
    </x:row>
    <x:row r="19">
      <x:c r="A19" s="13" t="str">
        <x:v>Amazon</x:v>
      </x:c>
      <x:c r="B19" s="13" t="str">
        <x:v>Security Engineer I - Stores Security / Healthcare Security</x:v>
      </x:c>
      <x:c r="C19" s="13" t="str">
        <x:v>Live, but requires 2+ years of non-internship professional experience.</x:v>
      </x:c>
      <x:c r="D19" s="13" t="str">
        <x:v>https://www.amazon.jobs/</x:v>
      </x:c>
    </x:row>
    <x:row r="20">
      <x:c r="A20" s="13" t="str">
        <x:v>OpenSesame</x:v>
      </x:c>
      <x:c r="B20" s="13" t="str">
        <x:v>Security Analyst Internship</x:v>
      </x:c>
      <x:c r="C20" s="13" t="str">
        <x:v>Application deadline was Oct. 23, 2026; now closed to new applications.</x:v>
      </x:c>
      <x:c r="D20" s="13" t="str">
        <x:v>https://www.indeed.com/</x:v>
      </x:c>
    </x:row>
    <x:row r="21">
      <x:c r="A21" s="13" t="str">
        <x:v>Workiva</x:v>
      </x:c>
      <x:c r="B21" s="13" t="str">
        <x:v>Spring &amp; Summer 2027 Intern - Security &amp; GRC</x:v>
      </x:c>
      <x:c r="C21" s="13" t="str">
        <x:v>Application deadline was Oct. 2, 2026; closed.</x:v>
      </x:c>
      <x:c r="D21" s="13" t="str">
        <x:v>https://workiva.wd503.myworkdayjobs.com/careers/job/USA---Remote/Spring---Summer-2027-Intern---Security---GRC_R12353</x:v>
      </x:c>
    </x:row>
    <x:row r="22">
      <x:c r="A22" s="13" t="str">
        <x:v>Intel</x:v>
      </x:c>
      <x:c r="B22" s="13" t="str">
        <x:v>Information Security Engineer Undergraduate Intern</x:v>
      </x:c>
      <x:c r="C22" s="13" t="str">
        <x:v>Undergraduate-only and posting says not eligible for Intel immigration sponsorship.</x:v>
      </x:c>
      <x:c r="D22" s="13" t="str">
        <x:v>https://jobs.intel.com/</x:v>
      </x:c>
    </x:row>
    <x:row r="23">
      <x:c r="A23" s="13" t="str">
        <x:v>T-Mobile</x:v>
      </x:c>
      <x:c r="B23" s="13" t="str">
        <x:v>Summer 2027 Software Engineer - Cloud Security Internship</x:v>
      </x:c>
      <x:c r="C23" s="13" t="str">
        <x:v>Requires coursework remaining after internship and future U.S. work authorization; not a May-2027-grad fit.</x:v>
      </x:c>
      <x:c r="D23" s="13" t="str">
        <x:v>https://careers.t-mobile.com/</x:v>
      </x:c>
    </x:row>
    <x:row r="24">
      <x:c r="A24" s="13" t="str">
        <x:v>Tanium</x:v>
      </x:c>
      <x:c r="B24" s="13" t="str">
        <x:v>Cloud Security Intern</x:v>
      </x:c>
      <x:c r="C24" s="13" t="str">
        <x:v>Graduation window is later than May 2027 and requires authorization now/future.</x:v>
      </x:c>
      <x:c r="D24" s="13" t="str">
        <x:v>https://www.tanium.com/careers/</x:v>
      </x:c>
    </x:row>
    <x:row r="25">
      <x:c r="A25" s="13" t="str">
        <x:v>Together AI</x:v>
      </x:c>
      <x:c r="B25" s="13" t="str">
        <x:v>Hardware Security Engineer Intern - Summer 2027</x:v>
      </x:c>
      <x:c r="C25" s="13" t="str">
        <x:v>Internship expects a degree earned/expected by Summer 2028; not the May 2027 cohort.</x:v>
      </x:c>
      <x:c r="D25" s="13" t="str">
        <x:v>https://www.ziprecruiter.com/</x:v>
      </x:c>
    </x:row>
    <x:row r="26">
      <x:c r="A26" s="13" t="str">
        <x:v>The Home Depot</x:v>
      </x:c>
      <x:c r="B26" s="13" t="str">
        <x:v>2027 Summer Internship - Cybersecurity</x:v>
      </x:c>
      <x:c r="C26" s="13" t="str">
        <x:v>Targets students pursuing a bachelor’s and begins after May graduation; not a clean MS-May-2027 fit.</x:v>
      </x:c>
      <x:c r="D26" s="13" t="str">
        <x:v>https://careers.homedepot.com/</x:v>
      </x:c>
    </x:row>
    <x:row r="27">
      <x:c r="A27" s="13" t="str">
        <x:v>Cox Automotive</x:v>
      </x:c>
      <x:c r="B27" s="13" t="str">
        <x:v>Cybersecurity Intern - Summer 2027</x:v>
      </x:c>
      <x:c r="C27" s="13" t="str">
        <x:v>Requires current enrollment for a Summer 2027 internship after May graduation; removed under stricter timing rule.</x:v>
      </x:c>
      <x:c r="D27" s="13" t="str">
        <x:v>https://jobs.coxenterprises.com/</x:v>
      </x:c>
    </x:row>
    <x:row r="28">
      <x:c r="A28" s="13" t="str">
        <x:v>GTRI</x:v>
      </x:c>
      <x:c r="B28" s="13" t="str">
        <x:v>Assured Software and Information Division Graduate Intern - Spring 2027</x:v>
      </x:c>
      <x:c r="C28" s="13" t="str">
        <x:v>Great technical fit, but posting explicitly requires U.S. citizenship due federal research contracts.</x:v>
      </x:c>
      <x:c r="D28" s="13" t="str">
        <x:v>https://careers.gtri.gatech.edu/jobs/assured-software-and-information-division-graduate-intern-spring-2027-cipher-atlanta-georgia-united-states</x:v>
      </x:c>
    </x:row>
    <x:row r="29">
      <x:c r="A29" s="13" t="str">
        <x:v>Lawrence Livermore National Laboratory</x:v>
      </x:c>
      <x:c r="B29" s="13" t="str">
        <x:v>Cybersecurity Graduate/Undergraduate Intern - Summer 2027</x:v>
      </x:c>
      <x:c r="C29" s="13" t="str">
        <x:v>Posting requires work to be performed by a U.S. person.</x:v>
      </x:c>
      <x:c r="D29" s="13" t="str">
        <x:v>https://www.llnl.gov/join-our-team/careers/find-your-job/all/field/3743990016165636</x:v>
      </x:c>
    </x:row>
  </x:sheetData>
  <x:pageMargins left="0.7" right="0.7" top="0.75" bottom="0.75" header="0.3" footer="0.3"/>
  <x:tableParts count="1">
    <x:tablePart xmlns:r="http://schemas.openxmlformats.org/officeDocument/2006/relationships" r:id="R3a8840c095b047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Rule</x:v>
      </x:c>
      <x:c r="B1" s="4" t="str">
        <x:v>What I used</x:v>
      </x:c>
    </x:row>
    <x:row r="2">
      <x:c r="A2" s="12" t="str">
        <x:v>Current / active</x:v>
      </x:c>
      <x:c r="B2" s="12" t="str">
        <x:v>Role appears on a current employer page or on the live cyber-job board updated Oct. 26, 2026. Roles listed as closed were removed.</x:v>
      </x:c>
    </x:row>
    <x:row r="3">
      <x:c r="A3" s="12" t="str">
        <x:v>Level fit</x:v>
      </x:c>
      <x:c r="B3" s="12" t="str">
        <x:v>New-grad/university programs or early-career roles (normally 0–2 years / Analyst I / Associate / Junior / Engineer I). Roles with clear 3–5+ year requirements were removed.</x:v>
      </x:c>
    </x:row>
    <x:row r="4">
      <x:c r="A4" s="12" t="str">
        <x:v>Graduation timing</x:v>
      </x:c>
      <x:c r="B4" s="12" t="str">
        <x:v>May 2027 full-time roles must accept Spring/Summer 2027 grads. Internships are limited to Winter/Spring 2027 unless the posting explicitly accepts Spring 2027 graduates.</x:v>
      </x:c>
    </x:row>
    <x:row r="5">
      <x:c r="A5" s="12" t="str">
        <x:v>F-1 / OPT filter</x:v>
      </x:c>
      <x:c r="B5" s="12" t="str">
        <x:v>Any posting explicitly requiring U.S. citizenship, clearance, U.S.-person status, or saying no current/future sponsorship was removed.</x:v>
      </x:c>
    </x:row>
    <x:row r="6">
      <x:c r="A6" s="12" t="str">
        <x:v>Important visa caveat</x:v>
      </x:c>
      <x:c r="B6" s="12" t="str">
        <x:v>Most U.S. job postings do NOT promise H-1B sponsorship. ⚠️ means there is no known explicit blocker from this audit, but she must verify that exact role before applying. It is intentionally not labeled 'sponsors'.</x:v>
      </x:c>
    </x:row>
    <x:row r="7">
      <x:c r="A7" s="12" t="str">
        <x:v>Audit date</x:v>
      </x:c>
      <x:c r="B7" s="12" t="str">
        <x:v>October 26, 2026</x:v>
      </x:c>
    </x:row>
    <x:row r="8">
      <x:c r="A8" s="12" t="str">
        <x:v>Freshness source</x:v>
      </x:c>
      <x:c r="B8" s="12" t="str">
        <x:v>HackedRico 2027 Cyber Jobs live board is updated twice daily; current snapshot said 170 internships, 47 new-grad, and 178 early-career roles open.</x:v>
      </x:c>
    </x:row>
    <x:row r="10">
      <x:c r="A10" s="12" t="str">
        <x:v>Resume targeting update</x:v>
      </x:c>
      <x:c r="B10" s="12" t="str">
        <x:v>Tracker now includes suitable early-to-mid-career roles, not only campus/new-grad roles.</x:v>
      </x:c>
    </x:row>
    <x:row r="11">
      <x:c r="A11" s="12" t="str">
        <x:v>Experience profile used</x:v>
      </x:c>
      <x:c r="B11" s="12" t="str">
        <x:v>~4 years IBM security experience: Splunk/QRadar SIEM, incident triage, enterprise firewalls/VPNs, Python automation/APIs, OWASP/secure SDLC, audits/compliance.</x:v>
      </x:c>
    </x:row>
    <x:row r="12">
      <x:c r="A12" s="12" t="str">
        <x:v>Experience rule</x:v>
      </x:c>
      <x:c r="B12" s="12" t="str">
        <x:v>Roles asking roughly 2–4 years are now normal fits. 5+ year roles stay excluded unless the actual requirements make them reasonable as a stretch.</x:v>
      </x:c>
    </x:row>
    <x:row r="13">
      <x:c r="A13" s="12" t="str">
        <x:v>Senior-title rule</x:v>
      </x:c>
      <x:c r="B13" s="12" t="str">
        <x:v>A 'Senior' title is not automatically excluded if the minimum experience is around 4 years and the technical match is strong.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5" hidden="0" customWidth="1"/>
    <x:col min="3" max="3" width="70" hidden="0" customWidth="1"/>
  </x:cols>
  <x:sheetData>
    <x:row r="1">
      <x:c r="A1" s="4" t="str">
        <x:v>Company</x:v>
      </x:c>
      <x:c r="B1" s="4" t="str">
        <x:v>Watch For</x:v>
      </x:c>
      <x:c r="C1" s="4" t="str">
        <x:v>Why Not Main List Yet</x:v>
      </x:c>
    </x:row>
    <x:row r="2">
      <x:c r="A2" s="12" t="str">
        <x:v>Google</x:v>
      </x:c>
      <x:c r="B2" s="12" t="str">
        <x:v>Security / Product Security / Cloud Security 2027 graduate roles</x:v>
      </x:c>
      <x:c r="C2" s="12" t="str">
        <x:v>No suitable current role was kept without a fresh role-level check.</x:v>
      </x:c>
    </x:row>
    <x:row r="3">
      <x:c r="A3" s="12" t="str">
        <x:v>Amazon / AWS</x:v>
      </x:c>
      <x:c r="B3" s="12" t="str">
        <x:v>Security Engineer / AppSec / Security Incident Response</x:v>
      </x:c>
      <x:c r="C3" s="12" t="str">
        <x:v>Current Security Engineer I results often ask for 2+ years non-internship experience; keep watching for true 2027 new-grad postings.</x:v>
      </x:c>
    </x:row>
    <x:row r="4">
      <x:c r="A4" s="12" t="str">
        <x:v>PayPal</x:v>
      </x:c>
      <x:c r="B4" s="12" t="str">
        <x:v>Cybersecurity Engineer - Recent Graduate</x:v>
      </x:c>
      <x:c r="C4" s="12" t="str">
        <x:v>Was recently listed but live board now marks it closed; watch for repost/new req.</x:v>
      </x:c>
    </x:row>
    <x:row r="5">
      <x:c r="A5" s="12" t="str">
        <x:v>Appian</x:v>
      </x:c>
      <x:c r="B5" s="12" t="str">
        <x:v>Information Security Engineer (2027 Graduate)</x:v>
      </x:c>
      <x:c r="C5" s="12" t="str">
        <x:v>Live board marks the previous req closed; watch for a replacement.</x:v>
      </x:c>
    </x:row>
    <x:row r="6">
      <x:c r="A6" s="12" t="str">
        <x:v>ByteDance / TikTok</x:v>
      </x:c>
      <x:c r="B6" s="12" t="str">
        <x:v>Product Security Engineer Graduate - 2027 Start</x:v>
      </x:c>
      <x:c r="C6" s="12" t="str">
        <x:v>Promising sponsorship profile, but verify the exact U.S. role and work-authorization text before adding.</x:v>
      </x:c>
    </x:row>
    <x:row r="7">
      <x:c r="A7" s="12" t="str">
        <x:v>Palo Alto Networks</x:v>
      </x:c>
      <x:c r="B7" s="12" t="str">
        <x:v>Security research / product security / Unit 42 early career</x:v>
      </x:c>
      <x:c r="C7" s="12" t="str">
        <x:v>Current generic software role is in the list; watch for a more direct cyber role.</x:v>
      </x:c>
    </x:row>
    <x:row r="8">
      <x:c r="A8" s="12" t="str">
        <x:v>Cisco</x:v>
      </x:c>
      <x:c r="B8" s="12" t="str">
        <x:v>Security Engineer I / Security Research Engineer I university roles</x:v>
      </x:c>
      <x:c r="C8" s="12" t="str">
        <x:v>Recent intern reqs closed; watch for reopening / new-grad equivalents.</x:v>
      </x:c>
    </x:row>
    <x:row r="9">
      <x:c r="A9" s="12" t="str">
        <x:v>CrowdStrike</x:v>
      </x:c>
      <x:c r="B9" s="12" t="str">
        <x:v>Analyst I / Product Security / Detection Engineering</x:v>
      </x:c>
      <x:c r="C9" s="12" t="str">
        <x:v>Analyst I is active; watch for more new-grad security engineering openings.</x:v>
      </x:c>
    </x:row>
  </x:sheetData>
  <x:pageMargins left="0.7" right="0.7" top="0.75" bottom="0.75" header="0.3" footer="0.3"/>
  <x:tableParts count="1">
    <x:tablePart xmlns:r="http://schemas.openxmlformats.org/officeDocument/2006/relationships" r:id="R413490915f604ea7"/>
  </x:tableParts>
</x:worksheet>
</file>

<file path=xl/worksheets/sheet7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3" hidden="0" customWidth="1"/>
    <x:col min="4" max="4" width="27" hidden="0" customWidth="1"/>
    <x:col min="5" max="5" width="25" hidden="0" customWidth="1"/>
    <x:col min="6" max="6" width="25" hidden="0" customWidth="1"/>
    <x:col min="7" max="7" width="18" hidden="0" customWidth="1"/>
    <x:col min="8" max="8" width="44" hidden="0" customWidth="1"/>
    <x:col min="9" max="9" width="56" hidden="0" customWidth="1"/>
    <x:col min="10" max="10" width="18" hidden="0" customWidth="1"/>
    <x:col min="11" max="11" width="38" hidden="0" customWidth="1"/>
    <x:col min="12" max="12" width="38" hidden="0" customWidth="1"/>
    <x:col min="13" max="13" width="14" hidden="0" customWidth="1"/>
    <x:col min="14" max="14" width="14" hidden="0" customWidth="1"/>
    <x:col min="15" max="15" width="14" hidden="0" customWidth="1"/>
    <x:col min="16" max="16" width="26" hidden="0" customWidth="1"/>
  </x:cols>
  <x:sheetData>
    <x:row r="1" ht="38" customHeight="1">
      <x:c r="A1" s="72" t="str">
        <x:v>Priority</x:v>
      </x:c>
      <x:c r="B1" s="72" t="str">
        <x:v>Company</x:v>
      </x:c>
      <x:c r="C1" s="72" t="str">
        <x:v>Role</x:v>
      </x:c>
      <x:c r="D1" s="72" t="str">
        <x:v>Track</x:v>
      </x:c>
      <x:c r="E1" s="72" t="str">
        <x:v>Location</x:v>
      </x:c>
      <x:c r="F1" s="72" t="str">
        <x:v>Role Type</x:v>
      </x:c>
      <x:c r="G1" s="72" t="str">
        <x:v>Fit</x:v>
      </x:c>
      <x:c r="H1" s="72" t="str">
        <x:v>Visa / Work Authorization</x:v>
      </x:c>
      <x:c r="I1" s="72" t="str">
        <x:v>Why It Matches Her Resume</x:v>
      </x:c>
      <x:c r="J1" s="72" t="str">
        <x:v>Compensation</x:v>
      </x:c>
      <x:c r="K1" s="72" t="str">
        <x:v>Live Job / Source</x:v>
      </x:c>
      <x:c r="L1" s="72" t="str">
        <x:v>Visa / Secondary Source</x:v>
      </x:c>
      <x:c r="M1" s="72" t="str">
        <x:v>Verified On</x:v>
      </x:c>
      <x:c r="N1" s="72" t="str">
        <x:v>Status</x:v>
      </x:c>
      <x:c r="O1" s="72" t="str">
        <x:v>Date Applied</x:v>
      </x:c>
      <x:c r="P1" s="72" t="str">
        <x:v>Notes</x:v>
      </x:c>
    </x:row>
    <x:row r="2">
      <x:c r="A2" s="13" t="str">
        <x:v>🔥 Apply First</x:v>
      </x:c>
      <x:c r="B2" s="13" t="str">
        <x:v>Snowflake</x:v>
      </x:c>
      <x:c r="C2" s="13" t="str">
        <x:v>Security Incident Response Engineer</x:v>
      </x:c>
      <x:c r="D2" s="13" t="str">
        <x:v>Incident Response / SecOps</x:v>
      </x:c>
      <x:c r="E2" s="13" t="str">
        <x:v>Remote California / Bay Area</x:v>
      </x:c>
      <x:c r="F2" s="13" t="str">
        <x:v>Mid (2+ years preferred)</x:v>
      </x:c>
      <x:c r="G2" s="13" t="str">
        <x:v>Excellent</x:v>
      </x:c>
      <x:c r="H2" s="13" t="str">
        <x:v>🟢 Company H-1B history; exact-role sponsorship not guaranteed</x:v>
      </x:c>
      <x:c r="I2" s="13" t="str">
        <x:v>IBM SIEM + incident triage + Python automation map directly; role prefers 2+ years IR/SecOps.</x:v>
      </x:c>
      <x:c r="J2" s="13" t="str">
        <x:v>$143K–$205.8K</x:v>
      </x:c>
      <x:c r="K2" s="13" t="str">
        <x:v>https://careers.snowflake.com/us/en/job/7139a002-dbe3-4693-8cbc-5b780db1d29d/Incident-Response-Engineer</x:v>
      </x:c>
      <x:c r="L2" s="13" t="str">
        <x:v>https://alion.io/job/snowflake-incident-response-engineer</x:v>
      </x:c>
      <x:c r="M2" s="13" t="str">
        <x:v>2026-10-26</x:v>
      </x:c>
      <x:c r="N2" s="13" t="str">
        <x:v>Not Applied</x:v>
      </x:c>
      <x:c r="O2" s="13" t="str"/>
      <x:c r="P2" s="13" t="str"/>
    </x:row>
    <x:row r="3">
      <x:c r="A3" s="13" t="str">
        <x:v>🔥 Apply First</x:v>
      </x:c>
      <x:c r="B3" s="13" t="str">
        <x:v>Google</x:v>
      </x:c>
      <x:c r="C3" s="13" t="str">
        <x:v>Cyber Defense Detection Engineer, Mandiant, Google Cloud</x:v>
      </x:c>
      <x:c r="D3" s="13" t="str">
        <x:v>Detection Engineering / SIEM</x:v>
      </x:c>
      <x:c r="E3" s="13" t="str">
        <x:v>Remote US / Ohio</x:v>
      </x:c>
      <x:c r="F3" s="13" t="str">
        <x:v>Mid (3 years)</x:v>
      </x:c>
      <x:c r="G3" s="13" t="str">
        <x:v>Excellent</x:v>
      </x:c>
      <x:c r="H3" s="13" t="str">
        <x:v>🟢 Strong H-1B sponsor history</x:v>
      </x:c>
      <x:c r="I3" s="13" t="str">
        <x:v>3 years detection tuning/SIEM content + Python; strong match to Splunk/QRadar, tuning and automation.</x:v>
      </x:c>
      <x:c r="J3" s="13" t="str">
        <x:v>$112K–$161K</x:v>
      </x:c>
      <x:c r="K3" s="13" t="str">
        <x:v>https://simplify.jobs/p/e55468fd-684d-450a-9df2-1d8baaa6d7f5/Cyber-Defense-Detection-Engineer</x:v>
      </x:c>
      <x:c r="L3" s="13" t="str">
        <x:v>https://www.h1b-connect.com/jobs/post/6ad0962810a2af8f8f6401bc</x:v>
      </x:c>
      <x:c r="M3" s="13" t="str">
        <x:v>2026-10-26</x:v>
      </x:c>
      <x:c r="N3" s="13" t="str">
        <x:v>Not Applied</x:v>
      </x:c>
      <x:c r="O3" s="13" t="str"/>
      <x:c r="P3" s="13" t="str"/>
    </x:row>
    <x:row r="4">
      <x:c r="A4" s="13" t="str">
        <x:v>🔥 Apply First</x:v>
      </x:c>
      <x:c r="B4" s="13" t="str">
        <x:v>Google</x:v>
      </x:c>
      <x:c r="C4" s="13" t="str">
        <x:v>Security Engineer II, Core, Enterprise Access Security Engineering</x:v>
      </x:c>
      <x:c r="D4" s="13" t="str">
        <x:v>Security Engineering / IAM</x:v>
      </x:c>
      <x:c r="E4" s="13" t="str">
        <x:v>San Jose, CA</x:v>
      </x:c>
      <x:c r="F4" s="13" t="str">
        <x:v>Mid (1+ year)</x:v>
      </x:c>
      <x:c r="G4" s="13" t="str">
        <x:v>Excellent</x:v>
      </x:c>
      <x:c r="H4" s="13" t="str">
        <x:v>🟢 Elite H-1B sponsor history</x:v>
      </x:c>
      <x:c r="I4" s="13" t="str">
        <x:v>Security analysis, network security, automation and access-policy work fit her IBM security engineering background.</x:v>
      </x:c>
      <x:c r="J4" s="13" t="str">
        <x:v>$123K–$174K</x:v>
      </x:c>
      <x:c r="K4" s="13" t="str">
        <x:v>https://www.h1b-connect.com/jobs/post/6ad0ac2610a2af8f8f6406e2</x:v>
      </x:c>
      <x:c r="L4" s="13" t="str">
        <x:v>https://www.h1b-connect.com/jobs/post/6ad0ac2610a2af8f8f6406e2</x:v>
      </x:c>
      <x:c r="M4" s="13" t="str">
        <x:v>2026-10-26</x:v>
      </x:c>
      <x:c r="N4" s="13" t="str">
        <x:v>Not Applied</x:v>
      </x:c>
      <x:c r="O4" s="13" t="str"/>
      <x:c r="P4" s="13" t="str"/>
    </x:row>
    <x:row r="5">
      <x:c r="A5" s="13" t="str">
        <x:v>🔥 Apply First</x:v>
      </x:c>
      <x:c r="B5" s="13" t="str">
        <x:v>Google</x:v>
      </x:c>
      <x:c r="C5" s="13" t="str">
        <x:v>Security Engineer III, Cloud Security Controls</x:v>
      </x:c>
      <x:c r="D5" s="13" t="str">
        <x:v>Cloud Security Engineering</x:v>
      </x:c>
      <x:c r="E5" s="13" t="str">
        <x:v>New York, NY / San Jose, CA</x:v>
      </x:c>
      <x:c r="F5" s="13" t="str">
        <x:v>Mid (2+ years)</x:v>
      </x:c>
      <x:c r="G5" s="13" t="str">
        <x:v>Excellent</x:v>
      </x:c>
      <x:c r="H5" s="13" t="str">
        <x:v>🟢 Strong H-1B sponsor history</x:v>
      </x:c>
      <x:c r="I5" s="13" t="str">
        <x:v>2 years security assessments/design reviews + security engineering + coding; her cloud/on-prem security and Python experience are relevant.</x:v>
      </x:c>
      <x:c r="J5" s="13" t="str">
        <x:v>Not listed</x:v>
      </x:c>
      <x:c r="K5" s="13" t="str">
        <x:v>https://www.google.com/about/careers/applications/jobs/results/136535844847526598-security-engineer-iii-cloud-security-controls</x:v>
      </x:c>
      <x:c r="L5" s="13" t="str">
        <x:v>https://www.google.com/about/careers/applications/jobs/results/136535844847526598-security-engineer-iii-cloud-security-controls</x:v>
      </x:c>
      <x:c r="M5" s="13" t="str">
        <x:v>2026-10-26</x:v>
      </x:c>
      <x:c r="N5" s="13" t="str">
        <x:v>Not Applied</x:v>
      </x:c>
      <x:c r="O5" s="13" t="str"/>
      <x:c r="P5" s="13" t="str"/>
    </x:row>
    <x:row r="6">
      <x:c r="A6" s="13" t="str">
        <x:v>🔥 Apply First</x:v>
      </x:c>
      <x:c r="B6" s="13" t="str">
        <x:v>Microsoft</x:v>
      </x:c>
      <x:c r="C6" s="13" t="str">
        <x:v>Security Operations Engineer - Cloud Security</x:v>
      </x:c>
      <x:c r="D6" s="13" t="str">
        <x:v>Cloud Security / SecOps</x:v>
      </x:c>
      <x:c r="E6" s="13" t="str">
        <x:v>Redmond, WA</x:v>
      </x:c>
      <x:c r="F6" s="13" t="str">
        <x:v>Mid / Master's entry (1+ year)</x:v>
      </x:c>
      <x:c r="G6" s="13" t="str">
        <x:v>Excellent</x:v>
      </x:c>
      <x:c r="H6" s="13" t="str">
        <x:v>🟢 H-1B sponsorship source available</x:v>
      </x:c>
      <x:c r="I6" s="13" t="str">
        <x:v>Master's + 1 year accepted; SOC, SIEM, incident response and cloud operations align closely.</x:v>
      </x:c>
      <x:c r="J6" s="13" t="str">
        <x:v>$102.1K–$219.2K</x:v>
      </x:c>
      <x:c r="K6" s="13" t="str">
        <x:v>https://www.h1b-connect.com/jobs/post/6adb2a89395b74cab2e4ecbb</x:v>
      </x:c>
      <x:c r="L6" s="13" t="str">
        <x:v>https://www.h1b-connect.com/jobs/post/6adb2a89395b74cab2e4ecbb</x:v>
      </x:c>
      <x:c r="M6" s="13" t="str">
        <x:v>2026-10-26</x:v>
      </x:c>
      <x:c r="N6" s="13" t="str">
        <x:v>Not Applied</x:v>
      </x:c>
      <x:c r="O6" s="13" t="str"/>
      <x:c r="P6" s="13" t="str"/>
    </x:row>
    <x:row r="7">
      <x:c r="A7" s="13" t="str">
        <x:v>🔥 Apply First</x:v>
      </x:c>
      <x:c r="B7" s="13" t="str">
        <x:v>Deloitte</x:v>
      </x:c>
      <x:c r="C7" s="13" t="str">
        <x:v>Cyber Operate Detection Engineer - Consultant</x:v>
      </x:c>
      <x:c r="D7" s="13" t="str">
        <x:v>Detection Engineering / SOC</x:v>
      </x:c>
      <x:c r="E7" s="13" t="str">
        <x:v>Atlanta, GA</x:v>
      </x:c>
      <x:c r="F7" s="13" t="str">
        <x:v>Mid (2+ years)</x:v>
      </x:c>
      <x:c r="G7" s="13" t="str">
        <x:v>Excellent</x:v>
      </x:c>
      <x:c r="H7" s="13" t="str">
        <x:v>✅ H1B sponsorship available</x:v>
      </x:c>
      <x:c r="I7" s="13" t="str">
        <x:v>2+ years cyber/SOC/threat-intel experience; Atlanta; detection engineering is a direct fit for SIEM tuning and automation.</x:v>
      </x:c>
      <x:c r="J7" s="13" t="str">
        <x:v>$82.6K–$162.8K</x:v>
      </x:c>
      <x:c r="K7" s="13" t="str">
        <x:v>https://simplify.jobs/p/c5204b3a-626a-4b1e-983b-cc384017e5ce/Cyber-Operate-Detection-Engineer</x:v>
      </x:c>
      <x:c r="L7" s="13" t="str">
        <x:v>https://simplify.jobs/p/c5204b3a-626a-4b1e-983b-cc384017e5ce/Cyber-Operate-Detection-Engineer</x:v>
      </x:c>
      <x:c r="M7" s="13" t="str">
        <x:v>2026-10-26</x:v>
      </x:c>
      <x:c r="N7" s="13" t="str">
        <x:v>Not Applied</x:v>
      </x:c>
      <x:c r="O7" s="13" t="str"/>
      <x:c r="P7" s="13" t="str"/>
    </x:row>
    <x:row r="8">
      <x:c r="A8" s="13" t="str">
        <x:v>🔥 Apply First</x:v>
      </x:c>
      <x:c r="B8" s="13" t="str">
        <x:v>Deloitte</x:v>
      </x:c>
      <x:c r="C8" s="13" t="str">
        <x:v>Cyber-AI Cloud Security Engineer</x:v>
      </x:c>
      <x:c r="D8" s="13" t="str">
        <x:v>Cloud / AI Security</x:v>
      </x:c>
      <x:c r="E8" s="13" t="str">
        <x:v>Atlanta, GA</x:v>
      </x:c>
      <x:c r="F8" s="13" t="str">
        <x:v>Junior/Mid (2+ years)</x:v>
      </x:c>
      <x:c r="G8" s="13" t="str">
        <x:v>Excellent</x:v>
      </x:c>
      <x:c r="H8" s="13" t="str">
        <x:v>✅ H1B sponsorship available</x:v>
      </x:c>
      <x:c r="I8" s="13" t="str">
        <x:v>2+ years cyber/cloud/appsec accepted; combines her security background with graduate-level cybersecurity.</x:v>
      </x:c>
      <x:c r="J8" s="13" t="str">
        <x:v>$82.6K–$162.8K</x:v>
      </x:c>
      <x:c r="K8" s="13" t="str">
        <x:v>https://simplify.jobs/p/c19d16ef-6f7c-4aaa-8e1f-213f733bd4f5/Cyber-AI-Cloud-Security-Engineer</x:v>
      </x:c>
      <x:c r="L8" s="13" t="str">
        <x:v>https://simplify.jobs/p/c19d16ef-6f7c-4aaa-8e1f-213f733bd4f5/Cyber-AI-Cloud-Security-Engineer</x:v>
      </x:c>
      <x:c r="M8" s="13" t="str">
        <x:v>2026-10-26</x:v>
      </x:c>
      <x:c r="N8" s="13" t="str">
        <x:v>Not Applied</x:v>
      </x:c>
      <x:c r="O8" s="13" t="str"/>
      <x:c r="P8" s="13" t="str"/>
    </x:row>
    <x:row r="9">
      <x:c r="A9" s="13" t="str">
        <x:v>🔥 Apply First</x:v>
      </x:c>
      <x:c r="B9" s="13" t="str">
        <x:v>Deloitte</x:v>
      </x:c>
      <x:c r="C9" s="13" t="str">
        <x:v>CIAM Security Engineer / Consultant</x:v>
      </x:c>
      <x:c r="D9" s="13" t="str">
        <x:v>IAM / Application Security</x:v>
      </x:c>
      <x:c r="E9" s="13" t="str">
        <x:v>Atlanta, GA / Remote</x:v>
      </x:c>
      <x:c r="F9" s="13" t="str">
        <x:v>Junior/Mid (2+ years)</x:v>
      </x:c>
      <x:c r="G9" s="13" t="str">
        <x:v>Excellent</x:v>
      </x:c>
      <x:c r="H9" s="13" t="str">
        <x:v>✅ Limited immigration sponsorship may be available</x:v>
      </x:c>
      <x:c r="I9" s="13" t="str">
        <x:v>2 years industry + IAM/API security; good match to auth concepts, secure SDLC and security engineering.</x:v>
      </x:c>
      <x:c r="J9" s="13" t="str">
        <x:v>$82.6K–$162.8K</x:v>
      </x:c>
      <x:c r="K9" s="13" t="str">
        <x:v>https://simplify.jobs/p/b9c7e1c1-7f31-4d60-8375-7832cd0ff3e6/Security-Engineer</x:v>
      </x:c>
      <x:c r="L9" s="13" t="str">
        <x:v>https://simplify.jobs/p/b9c7e1c1-7f31-4d60-8375-7832cd0ff3e6/Security-Engineer</x:v>
      </x:c>
      <x:c r="M9" s="13" t="str">
        <x:v>2026-10-26</x:v>
      </x:c>
      <x:c r="N9" s="13" t="str">
        <x:v>Not Applied</x:v>
      </x:c>
      <x:c r="O9" s="13" t="str"/>
      <x:c r="P9" s="13" t="str"/>
    </x:row>
    <x:row r="10">
      <x:c r="A10" s="13" t="str">
        <x:v>🔥 Apply First</x:v>
      </x:c>
      <x:c r="B10" s="13" t="str">
        <x:v>Travelers</x:v>
      </x:c>
      <x:c r="C10" s="13" t="str">
        <x:v>Cybersecurity Ops Technologist I - Splunk SIEM Engineer</x:v>
      </x:c>
      <x:c r="D10" s="13" t="str">
        <x:v>SIEM / Detection Engineering</x:v>
      </x:c>
      <x:c r="E10" s="13" t="str">
        <x:v>Atlanta, GA</x:v>
      </x:c>
      <x:c r="F10" s="13" t="str">
        <x:v>Mid (2-year minimum)</x:v>
      </x:c>
      <x:c r="G10" s="13" t="str">
        <x:v>Excellent</x:v>
      </x:c>
      <x:c r="H10" s="13" t="str">
        <x:v>⚠️ No explicit no-sponsorship language found; verify exact-role sponsorship</x:v>
      </x:c>
      <x:c r="I10" s="13" t="str">
        <x:v>Almost tailor-made: Splunk/SIEM, Python, AWS, SOC workflows, alert/detection optimization.</x:v>
      </x:c>
      <x:c r="J10" s="13" t="str">
        <x:v>$99.1K–$163.4K</x:v>
      </x:c>
      <x:c r="K10" s="13" t="str">
        <x:v>https://travelers.wd5.myworkdayjobs.com/External/job/CT---Hartford/Cybersecurity-Ops-Technologist---Splunk-SIEM-Engineer_R-51597</x:v>
      </x:c>
      <x:c r="L10" s="13" t="str">
        <x:v>https://careers.travelers.com/job/23629482/</x:v>
      </x:c>
      <x:c r="M10" s="13" t="str">
        <x:v>2026-10-26</x:v>
      </x:c>
      <x:c r="N10" s="13" t="str">
        <x:v>Not Applied</x:v>
      </x:c>
      <x:c r="O10" s="13" t="str"/>
      <x:c r="P10" s="13" t="str"/>
    </x:row>
    <x:row r="11">
      <x:c r="A11" s="13" t="str">
        <x:v>🔥 Apply First</x:v>
      </x:c>
      <x:c r="B11" s="13" t="str">
        <x:v>Axon</x:v>
      </x:c>
      <x:c r="C11" s="13" t="str">
        <x:v>Security Operations Engineer II</x:v>
      </x:c>
      <x:c r="D11" s="13" t="str">
        <x:v>Security Operations / Automation</x:v>
      </x:c>
      <x:c r="E11" s="13" t="str">
        <x:v>Scottsdale, AZ / Washington</x:v>
      </x:c>
      <x:c r="F11" s="13" t="str">
        <x:v>Mid (2+ years)</x:v>
      </x:c>
      <x:c r="G11" s="13" t="str">
        <x:v>Excellent</x:v>
      </x:c>
      <x:c r="H11" s="13" t="str">
        <x:v>🟢 Likely H-1B sponsor; substantial recent filing history</x:v>
      </x:c>
      <x:c r="I11" s="13" t="str">
        <x:v>2+ years SecOps/detection; Python, SIEM/SOAR, APIs, IR and automation fit very closely.</x:v>
      </x:c>
      <x:c r="J11" s="13" t="str">
        <x:v>$96K–$153.6K</x:v>
      </x:c>
      <x:c r="K11" s="13" t="str">
        <x:v>https://job-boards.greenhouse.io/axon/jobs/8033215003</x:v>
      </x:c>
      <x:c r="L11" s="13" t="str">
        <x:v>https://theopenbound.com/jobs/fc93a0f8-eac9-4799-aefc-82d643ce2e72</x:v>
      </x:c>
      <x:c r="M11" s="13" t="str">
        <x:v>2026-10-26</x:v>
      </x:c>
      <x:c r="N11" s="13" t="str">
        <x:v>Not Applied</x:v>
      </x:c>
      <x:c r="O11" s="13" t="str"/>
      <x:c r="P11" s="13" t="str"/>
    </x:row>
    <x:row r="12">
      <x:c r="A12" s="13" t="str">
        <x:v>🔥 Apply First</x:v>
      </x:c>
      <x:c r="B12" s="13" t="str">
        <x:v>Amazon / AWS</x:v>
      </x:c>
      <x:c r="C12" s="13" t="str">
        <x:v>Application Security Engineer</x:v>
      </x:c>
      <x:c r="D12" s="13" t="str">
        <x:v>Application Security</x:v>
      </x:c>
      <x:c r="E12" s="13" t="str">
        <x:v>Arlington, VA</x:v>
      </x:c>
      <x:c r="F12" s="13" t="str">
        <x:v>Mid (2+ years)</x:v>
      </x:c>
      <x:c r="G12" s="13" t="str">
        <x:v>Excellent</x:v>
      </x:c>
      <x:c r="H12" s="13" t="str">
        <x:v>🟢 Strong H-1B sponsor history</x:v>
      </x:c>
      <x:c r="I12" s="13" t="str">
        <x:v>Her OWASP/secure SDLC, Python and security review experience align with AWS AppSec requirements.</x:v>
      </x:c>
      <x:c r="J12" s="13" t="str">
        <x:v>$159.3K–$202.4K</x:v>
      </x:c>
      <x:c r="K12" s="13" t="str">
        <x:v>https://www.h1b-connect.com/jobs/post/6ad0a27710a2af8f8f64047f</x:v>
      </x:c>
      <x:c r="L12" s="13" t="str">
        <x:v>https://www.h1b-connect.com/jobs/post/6ad0a27710a2af8f8f64047f</x:v>
      </x:c>
      <x:c r="M12" s="13" t="str">
        <x:v>2026-10-26</x:v>
      </x:c>
      <x:c r="N12" s="13" t="str">
        <x:v>Not Applied</x:v>
      </x:c>
      <x:c r="O12" s="13" t="str"/>
      <x:c r="P12" s="13" t="str"/>
    </x:row>
    <x:row r="13">
      <x:c r="A13" s="13" t="str">
        <x:v>⭐ Strong Fit</x:v>
      </x:c>
      <x:c r="B13" s="13" t="str">
        <x:v>Amazon</x:v>
      </x:c>
      <x:c r="C13" s="13" t="str">
        <x:v>Security Engineer II, CLS Application Security</x:v>
      </x:c>
      <x:c r="D13" s="13" t="str">
        <x:v>Application Security / Automation</x:v>
      </x:c>
      <x:c r="E13" s="13" t="str">
        <x:v>Irvine, CA</x:v>
      </x:c>
      <x:c r="F13" s="13" t="str">
        <x:v>Mid (2+ years)</x:v>
      </x:c>
      <x:c r="G13" s="13" t="str">
        <x:v>Strong</x:v>
      </x:c>
      <x:c r="H13" s="13" t="str">
        <x:v>🟢 Strong H-1B sponsor history</x:v>
      </x:c>
      <x:c r="I13" s="13" t="str">
        <x:v>2+ years scripting/programming/security code review; OWASP/secure SDLC + Python are relevant.</x:v>
      </x:c>
      <x:c r="J13" s="13" t="str">
        <x:v>$159.3K–$202.4K</x:v>
      </x:c>
      <x:c r="K13" s="13" t="str">
        <x:v>https://www.h1b-connect.com/jobs/post/6abe240389b047a2c8f20048</x:v>
      </x:c>
      <x:c r="L13" s="13" t="str">
        <x:v>https://www.h1b-connect.com/jobs/post/6abe240389b047a2c8f20048</x:v>
      </x:c>
      <x:c r="M13" s="13" t="str">
        <x:v>2026-10-26</x:v>
      </x:c>
      <x:c r="N13" s="13" t="str">
        <x:v>Not Applied</x:v>
      </x:c>
      <x:c r="O13" s="13" t="str"/>
      <x:c r="P13" s="13" t="str"/>
    </x:row>
    <x:row r="14">
      <x:c r="A14" s="13" t="str">
        <x:v>⭐ Strong Fit</x:v>
      </x:c>
      <x:c r="B14" s="13" t="str">
        <x:v>Amazon / AWS</x:v>
      </x:c>
      <x:c r="C14" s="13" t="str">
        <x:v>Application Security Engineer, AWS Proactive Security</x:v>
      </x:c>
      <x:c r="D14" s="13" t="str">
        <x:v>Application Security</x:v>
      </x:c>
      <x:c r="E14" s="13" t="str">
        <x:v>Austin, TX</x:v>
      </x:c>
      <x:c r="F14" s="13" t="str">
        <x:v>Mid (3+ years across security domains)</x:v>
      </x:c>
      <x:c r="G14" s="13" t="str">
        <x:v>Strong / Stretch</x:v>
      </x:c>
      <x:c r="H14" s="13" t="str">
        <x:v>🟢 Strong H-1B sponsor history</x:v>
      </x:c>
      <x:c r="I14" s="13" t="str">
        <x:v>Her multi-domain IBM background makes this plausible; strongest if her current resume shows deeper AppSec work.</x:v>
      </x:c>
      <x:c r="J14" s="13" t="str">
        <x:v>$159.3K–$202.4K</x:v>
      </x:c>
      <x:c r="K14" s="13" t="str">
        <x:v>https://www.h1b-connect.com/jobs/post/6ad730ff18359e4f71191dcc</x:v>
      </x:c>
      <x:c r="L14" s="13" t="str">
        <x:v>https://www.h1b-connect.com/jobs/post/6ad730ff18359e4f71191dcc</x:v>
      </x:c>
      <x:c r="M14" s="13" t="str">
        <x:v>2026-10-26</x:v>
      </x:c>
      <x:c r="N14" s="13" t="str">
        <x:v>Not Applied</x:v>
      </x:c>
      <x:c r="O14" s="13" t="str"/>
      <x:c r="P14" s="13" t="str"/>
    </x:row>
    <x:row r="15">
      <x:c r="A15" s="13" t="str">
        <x:v>🔥 Apply First</x:v>
      </x:c>
      <x:c r="B15" s="13" t="str">
        <x:v>DoorDash</x:v>
      </x:c>
      <x:c r="C15" s="13" t="str">
        <x:v>Detection Engineer - Protective Services</x:v>
      </x:c>
      <x:c r="D15" s="13" t="str">
        <x:v>Detection Engineering / Threat Hunting</x:v>
      </x:c>
      <x:c r="E15" s="13" t="str">
        <x:v>Remote US</x:v>
      </x:c>
      <x:c r="F15" s="13" t="str">
        <x:v>Mid (3+ years)</x:v>
      </x:c>
      <x:c r="G15" s="13" t="str">
        <x:v>Excellent</x:v>
      </x:c>
      <x:c r="H15" s="13" t="str">
        <x:v>🟢 Company historically sponsors H-1B</x:v>
      </x:c>
      <x:c r="I15" s="13" t="str">
        <x:v>3+ years detection/IR/SecOps; Python and SIEM experience strongly match.</x:v>
      </x:c>
      <x:c r="J15" s="13" t="str">
        <x:v>$130.6K–$192K</x:v>
      </x:c>
      <x:c r="K15" s="13" t="str">
        <x:v>https://simplify.jobs/p/396f6c47-857d-426a-ba8b-d7773daee51a/Detection-Engineer</x:v>
      </x:c>
      <x:c r="L15" s="13" t="str">
        <x:v>https://simplify.jobs/p/396f6c47-857d-426a-ba8b-d7773daee51a/Detection-Engineer</x:v>
      </x:c>
      <x:c r="M15" s="13" t="str">
        <x:v>2026-10-26</x:v>
      </x:c>
      <x:c r="N15" s="13" t="str">
        <x:v>Not Applied</x:v>
      </x:c>
      <x:c r="O15" s="13" t="str"/>
      <x:c r="P15" s="13" t="str"/>
    </x:row>
    <x:row r="16">
      <x:c r="A16" s="13" t="str">
        <x:v>⭐ Strong Fit</x:v>
      </x:c>
      <x:c r="B16" s="13" t="str">
        <x:v>Morgan Stanley</x:v>
      </x:c>
      <x:c r="C16" s="13" t="str">
        <x:v>Senior Detection Engineer</x:v>
      </x:c>
      <x:c r="D16" s="13" t="str">
        <x:v>Detection Engineering / Threat Hunting</x:v>
      </x:c>
      <x:c r="E16" s="13" t="str">
        <x:v>Baltimore, MD</x:v>
      </x:c>
      <x:c r="F16" s="13" t="str">
        <x:v>Mid (4+ years)</x:v>
      </x:c>
      <x:c r="G16" s="13" t="str">
        <x:v>Strong / Stretch</x:v>
      </x:c>
      <x:c r="H16" s="13" t="str">
        <x:v>🟢 H-1B sponsorship source available</x:v>
      </x:c>
      <x:c r="I16" s="13" t="str">
        <x:v>Despite 'Senior' title, minimum is 4 years; SIEM, incident response, Python and detection work map well.</x:v>
      </x:c>
      <x:c r="J16" s="13" t="str">
        <x:v>$85K–$150K</x:v>
      </x:c>
      <x:c r="K16" s="13" t="str">
        <x:v>https://www.h1b-connect.com/jobs/post/6ad731af18359e4f71191ded</x:v>
      </x:c>
      <x:c r="L16" s="13" t="str">
        <x:v>https://www.h1b-connect.com/jobs/post/6ad731af18359e4f71191ded</x:v>
      </x:c>
      <x:c r="M16" s="13" t="str">
        <x:v>2026-10-26</x:v>
      </x:c>
      <x:c r="N16" s="13" t="str">
        <x:v>Not Applied</x:v>
      </x:c>
      <x:c r="O16" s="13" t="str"/>
      <x:c r="P16" s="13" t="str"/>
    </x:row>
    <x:row r="17">
      <x:c r="A17" s="13" t="str">
        <x:v>🔥 Apply First</x:v>
      </x:c>
      <x:c r="B17" s="13" t="str">
        <x:v>Credit Acceptance</x:v>
      </x:c>
      <x:c r="C17" s="13" t="str">
        <x:v>Security Operations Engineer 2</x:v>
      </x:c>
      <x:c r="D17" s="13" t="str">
        <x:v>Security Operations / Automation</x:v>
      </x:c>
      <x:c r="E17" s="13" t="str">
        <x:v>United States</x:v>
      </x:c>
      <x:c r="F17" s="13" t="str">
        <x:v>Mid (2+ years)</x:v>
      </x:c>
      <x:c r="G17" s="13" t="str">
        <x:v>Excellent</x:v>
      </x:c>
      <x:c r="H17" s="13" t="str">
        <x:v>⚠️ No explicit no-sponsorship blocker found; verify exact-role sponsorship</x:v>
      </x:c>
      <x:c r="I17" s="13" t="str">
        <x:v>2+ years; triage, SIEM/EDR/WAF, scripting/APIs and automation strongly match IBM experience.</x:v>
      </x:c>
      <x:c r="J17" s="13" t="str">
        <x:v>$84.7K–$124.2K</x:v>
      </x:c>
      <x:c r="K17" s="13" t="str">
        <x:v>https://simplify.jobs/p/63a5fae6-6bbf-461f-8cf6-57a76f4a7d6c/Security-Operations-Engineer-2</x:v>
      </x:c>
      <x:c r="L17" s="13" t="str">
        <x:v>https://simplify.jobs/p/63a5fae6-6bbf-461f-8cf6-57a76f4a7d6c/Security-Operations-Engineer-2</x:v>
      </x:c>
      <x:c r="M17" s="13" t="str">
        <x:v>2026-10-26</x:v>
      </x:c>
      <x:c r="N17" s="13" t="str">
        <x:v>Not Applied</x:v>
      </x:c>
      <x:c r="O17" s="13" t="str"/>
      <x:c r="P17" s="13" t="str"/>
    </x:row>
  </x:sheetData>
  <x:conditionalFormatting sqref="A2:A100">
    <x:cfRule type="expression" dxfId="8" priority="1">
      <x:formula>A2="🔥 Apply First"</x:formula>
    </x:cfRule>
  </x:conditionalFormatting>
  <x:conditionalFormatting sqref="H2:H100">
    <x:cfRule type="expression" dxfId="9" priority="2">
      <x:formula>LEFT(H2,1)="✅"</x:formula>
    </x:cfRule>
    <x:cfRule type="expression" dxfId="10" priority="3">
      <x:formula>LEFT(H2,1)="🟢"</x:formula>
    </x:cfRule>
    <x:cfRule type="expression" dxfId="11" priority="4">
      <x:formula>LEFT(H2,1)="⚠"</x:formula>
    </x:cfRule>
  </x:conditionalFormatting>
  <x:dataValidations count="1">
    <x:dataValidation type="list" sqref="N2:N100">
      <x:formula1>"Not Applied,Applied,OA,Interview,Rejected,Offer"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25c8aef6be45c1"/>
  </x:tableParts>
</x:worksheet>
</file>